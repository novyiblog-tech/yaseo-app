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Сводка" sheetId="1" state="visible" r:id="rId3"/>
    <sheet name="Параметры" sheetId="2" state="visible" r:id="rId4"/>
    <sheet name="Осторожный" sheetId="3" state="visible" r:id="rId5"/>
    <sheet name="Средний" sheetId="4" state="visible" r:id="rId6"/>
    <sheet name="Смелый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<sst xmlns="http://schemas.openxmlformats.org/spreadsheetml/2006/main" count="277" uniqueCount="151">
  <si>
    <t xml:space="preserve">yaSEO — сводка по трём сценариям</t>
  </si>
  <si>
    <t xml:space="preserve">Все числа считаются из листа «Параметры». Это модель на допущениях: конверсии, отток и поток посетителей до беты не измерены.</t>
  </si>
  <si>
    <t xml:space="preserve">Показатель</t>
  </si>
  <si>
    <t xml:space="preserve">Осторожный</t>
  </si>
  <si>
    <t xml:space="preserve">Средний</t>
  </si>
  <si>
    <t xml:space="preserve">Смелый</t>
  </si>
  <si>
    <t xml:space="preserve">Активные подписчики, месяц 12</t>
  </si>
  <si>
    <t xml:space="preserve">Активные подписчики, месяц 24</t>
  </si>
  <si>
    <t xml:space="preserve">Выручка подписок за месяц 12</t>
  </si>
  <si>
    <t xml:space="preserve">Выручка подписок за месяц 24</t>
  </si>
  <si>
    <t xml:space="preserve">Выручка за первый год</t>
  </si>
  <si>
    <t xml:space="preserve">Выручка за второй год</t>
  </si>
  <si>
    <t xml:space="preserve">Прибыль за первый год</t>
  </si>
  <si>
    <t xml:space="preserve">Прибыль за второй год</t>
  </si>
  <si>
    <t xml:space="preserve">Накопленный итог на конец месяца 24</t>
  </si>
  <si>
    <t xml:space="preserve">Самая глубокая яма (сколько денег нужно вложить)</t>
  </si>
  <si>
    <t xml:space="preserve">Первый прибыльный месяц</t>
  </si>
  <si>
    <t xml:space="preserve">Месяц возврата вложений</t>
  </si>
  <si>
    <t xml:space="preserve">Подписчиков для выхода в ноль при текущих расходах</t>
  </si>
  <si>
    <t xml:space="preserve">Средний чек подписки</t>
  </si>
  <si>
    <t xml:space="preserve">Маржа с подписчика в месяц</t>
  </si>
  <si>
    <t xml:space="preserve">Срок жизни подписчика, месяцев</t>
  </si>
  <si>
    <t xml:space="preserve">Доход с подписчика за срок жизни (LTV)</t>
  </si>
  <si>
    <t xml:space="preserve">Цена привлечения подписчика из рекламы (CAC)</t>
  </si>
  <si>
    <t xml:space="preserve">yaSEO — параметры финмодели</t>
  </si>
  <si>
    <t xml:space="preserve">Синие числа — вводные, их можно менять. Жёлтая заливка — допущения без замера, их проверяет бета. Чёрные и зелёные ячейки — формулы, их не трогать. Общий параметр меняется в столбце «Средний», остальные два подтянутся.</t>
  </si>
  <si>
    <t xml:space="preserve">Параметр</t>
  </si>
  <si>
    <t xml:space="preserve">Единица</t>
  </si>
  <si>
    <t xml:space="preserve">Источник и пояснение</t>
  </si>
  <si>
    <t xml:space="preserve">Цены</t>
  </si>
  <si>
    <t xml:space="preserve">Старт, подписка в месяц</t>
  </si>
  <si>
    <t xml:space="preserve">₽</t>
  </si>
  <si>
    <t xml:space="preserve">docs/PLAN.md §4, тарифы версии 2 от 30.09.2026. Назначена по ценам конкурентов, не расчётом</t>
  </si>
  <si>
    <t xml:space="preserve">Про, подписка в месяц</t>
  </si>
  <si>
    <t xml:space="preserve">docs/PLAN.md §4, тарифы версии 2 от 30.09.2026</t>
  </si>
  <si>
    <t xml:space="preserve">Агентство, подписка в месяц</t>
  </si>
  <si>
    <t xml:space="preserve">Разовый аудит</t>
  </si>
  <si>
    <t xml:space="preserve">Себестоимость API Яндекса</t>
  </si>
  <si>
    <t xml:space="preserve">Старт при полной выборке лимитов</t>
  </si>
  <si>
    <t xml:space="preserve">₽ в месяц</t>
  </si>
  <si>
    <t xml:space="preserve">Тарифы Yandex Search API, aistudio.yandex.ru/ru/docs/search-api/pricing, замер 29.09.2026, с НДС. 300 запросов ежедневно ночью, 2 аудита, 10 проверок в нейросетях</t>
  </si>
  <si>
    <t xml:space="preserve">Про при полной выборке лимитов</t>
  </si>
  <si>
    <t xml:space="preserve">Тарифы Yandex Search API, aistudio.yandex.ru/ru/docs/search-api/pricing, замер 29.09.2026, с НДС. 1 000 запросов, 5 аудитов, 50 проверок</t>
  </si>
  <si>
    <t xml:space="preserve">Агентство при полной выборке лимитов</t>
  </si>
  <si>
    <t xml:space="preserve">Тарифы Yandex Search API, aistudio.yandex.ru/ru/docs/search-api/pricing, замер 29.09.2026, с НДС. 3 000 запросов, 20 аудитов, 200 проверок</t>
  </si>
  <si>
    <t xml:space="preserve">Один полный аудит</t>
  </si>
  <si>
    <t xml:space="preserve">Тарифы Yandex Search API, aistudio.yandex.ru/ru/docs/search-api/pricing, замер 29.09.2026, с НДС. 30 запросов выдачи, 60 Wordstat, 5 по регионам, 5 генеративных</t>
  </si>
  <si>
    <t xml:space="preserve">Одна бесплатная экспресс-проверка</t>
  </si>
  <si>
    <t xml:space="preserve">Тарифы Yandex Search API, aistudio.yandex.ru/ru/docs/search-api/pricing, замер 29.09.2026, с НДС. 5 запросов выдачи, 10 Wordstat</t>
  </si>
  <si>
    <t xml:space="preserve">Доля лимитов, которую подписчик выбирает на деле</t>
  </si>
  <si>
    <t xml:space="preserve">доля</t>
  </si>
  <si>
    <t xml:space="preserve">Допущение. Замеряется на бете по журналу расхода</t>
  </si>
  <si>
    <t xml:space="preserve">LLM на тексты рекомендаций</t>
  </si>
  <si>
    <t xml:space="preserve">Текст одного полного отчёта</t>
  </si>
  <si>
    <t xml:space="preserve">YandexGPT Pro 5.1, 0,8 ₽ за 1000 токенов с НДС (aistudio.yandex.ru/ru/docs/ai-studio/pricing, прочитано 30.09.2026). Объём 20 000 входных и 4 000 выходных токенов на отчёт — допущение, модель не выбрана</t>
  </si>
  <si>
    <t xml:space="preserve">Текст одной экспресс-проверки</t>
  </si>
  <si>
    <t xml:space="preserve">Та же модель и цена. Объём 5 000 входных и 1 000 выходных токенов — допущение</t>
  </si>
  <si>
    <t xml:space="preserve">Старт: полных аудитов в месяц</t>
  </si>
  <si>
    <t xml:space="preserve">шт.</t>
  </si>
  <si>
    <t xml:space="preserve">Про: полных аудитов в месяц</t>
  </si>
  <si>
    <t xml:space="preserve">Агентство: полных аудитов в месяц</t>
  </si>
  <si>
    <t xml:space="preserve">Платежи и налоги</t>
  </si>
  <si>
    <t xml:space="preserve">Эквайринг</t>
  </si>
  <si>
    <t xml:space="preserve">доля выручки</t>
  </si>
  <si>
    <t xml:space="preserve">ЮKassa: 2,8% за платёж картой плюс 1% за чек при подключении «Чеков от ЮKassa» (yookassa.ru/fees, прочитано 30.09.2026). Без чеков — 3,5%. Комиссия за СБП на сайте не названа</t>
  </si>
  <si>
    <t xml:space="preserve">Налог УСН «доходы»</t>
  </si>
  <si>
    <t xml:space="preserve">УСН «доходы», базовая ставка 6% (nalog.gov.ru, закон 425-ФЗ, в силе с 01.01.2026). Режим ИП владельцами не выбран. Уменьшение налога на взносы не учтено</t>
  </si>
  <si>
    <t xml:space="preserve">Порог выручки за 12 месяцев, после которого платится НДС</t>
  </si>
  <si>
    <t xml:space="preserve">nalog.gov.ru/new2026, прочитано 30.09.2026: НДС на УСН возникает при доходе свыше 20 млн ₽ за прошлый год. В модели порог проверяется по выручке за последние 12 месяцев — приближение</t>
  </si>
  <si>
    <t xml:space="preserve">НДС после порога</t>
  </si>
  <si>
    <t xml:space="preserve">nalog.gov.ru/new2026, прочитано 30.09.2026: 5% без вычетов при доходе от 20 до 272,5 млн ₽</t>
  </si>
  <si>
    <t xml:space="preserve">Фиксированные страховые взносы ИП за год</t>
  </si>
  <si>
    <t xml:space="preserve">₽ в год</t>
  </si>
  <si>
    <t xml:space="preserve">НЕ ПРОВЕРЕНО ПО ПЕРВОИСТОЧНИКУ: число из поисковой выдачи (справочные сайты), статья 430 НК РФ не прочитана</t>
  </si>
  <si>
    <t xml:space="preserve">Годовой доход, сверх которого берётся дополнительный взнос</t>
  </si>
  <si>
    <t xml:space="preserve">НЕ ПРОВЕРЕНО ПО ПЕРВОИСТОЧНИКУ: из поисковой выдачи</t>
  </si>
  <si>
    <t xml:space="preserve">Дополнительный взнос с дохода сверх порога</t>
  </si>
  <si>
    <t xml:space="preserve">НЕ ПРОВЕРЕНО ПО ПЕРВОИСТОЧНИКУ: из поисковой выдачи. Потолок взноса 321 818 ₽ в модели не учтён</t>
  </si>
  <si>
    <t xml:space="preserve">Постоянные расходы в месяц</t>
  </si>
  <si>
    <t xml:space="preserve">Сервер</t>
  </si>
  <si>
    <t xml:space="preserve">Timeweb Cloud, тариф Cloud-80: 4 ядра, 8 ГБ, 80 ГБ NVMe (timeweb.cloud/services/cloud-servers, прочитано 30.09.2026). Selectel и Yandex Cloud — около 5 900 ₽</t>
  </si>
  <si>
    <t xml:space="preserve">База данных</t>
  </si>
  <si>
    <t xml:space="preserve">Timeweb Cloud, управляемая PostgreSQL, минимальная конфигурация с публичным IP (timeweb.cloud/services/postgresql, прочитано 30.09.2026)</t>
  </si>
  <si>
    <t xml:space="preserve">Онлайн-касса</t>
  </si>
  <si>
    <t xml:space="preserve">Касса через «Чеки от ЮKassa» без абонентской платы, её цена сидит в эквайринге (1% за чек)</t>
  </si>
  <si>
    <t xml:space="preserve">Домен, почта, рассылки</t>
  </si>
  <si>
    <t xml:space="preserve">Допущение</t>
  </si>
  <si>
    <t xml:space="preserve">Прочее: мониторинг, резервные копии, юрист</t>
  </si>
  <si>
    <t xml:space="preserve">Работа владельцев</t>
  </si>
  <si>
    <t xml:space="preserve">Решение владельцев. При нуле модель показывает прибыль без оплаты вашего времени</t>
  </si>
  <si>
    <t xml:space="preserve">Привлечение</t>
  </si>
  <si>
    <t xml:space="preserve">Посетители бесплатных каналов в первый месяц</t>
  </si>
  <si>
    <t xml:space="preserve">чел.</t>
  </si>
  <si>
    <t xml:space="preserve">Допущение. Каналы: посты Александра, 32 комментария под постом о yaseo</t>
  </si>
  <si>
    <t xml:space="preserve">Рост бесплатного потока в месяц</t>
  </si>
  <si>
    <t xml:space="preserve">Бюджет на рекламу в месяц</t>
  </si>
  <si>
    <t xml:space="preserve">Решение владельцев</t>
  </si>
  <si>
    <t xml:space="preserve">Цена одного посетителя из рекламы</t>
  </si>
  <si>
    <t xml:space="preserve">Допущение, не замерено</t>
  </si>
  <si>
    <t xml:space="preserve">Конверсии и отток</t>
  </si>
  <si>
    <t xml:space="preserve">Посетитель → бесплатная проверка</t>
  </si>
  <si>
    <t xml:space="preserve">Западные исследования, прочитаны в пересказе поисковой выдачи, сами отчёты не открыты; российских данных не найдено. Unbounce, Flint, 2026: лендинг SaaS в среднем 1–5%, продукты с самостоятельной регистрацией 4–10%</t>
  </si>
  <si>
    <t xml:space="preserve">Бесплатная проверка → подписка</t>
  </si>
  <si>
    <t xml:space="preserve">Западные исследования, прочитаны в пересказе поисковой выдачи, сами отчёты не открыты; российских данных не найдено. ChartMogul, First Page Sage, 2025: из бесплатного тарифа в платный 2,6–8%</t>
  </si>
  <si>
    <t xml:space="preserve">Бесплатная проверка → разовый аудит</t>
  </si>
  <si>
    <t xml:space="preserve">Допущение. Разовый аудит не продаёт никто из шести конкурентов, ориентира нет</t>
  </si>
  <si>
    <t xml:space="preserve">Отток подписчиков в месяц</t>
  </si>
  <si>
    <t xml:space="preserve">Западные исследования, прочитаны в пересказе поисковой выдачи, сами отчёты не открыты; российских данных не найдено. Kalungi, Churnkey, 2025–2026: SaaS для малого бизнеса 3–7% в месяц</t>
  </si>
  <si>
    <t xml:space="preserve">Распределение подписчиков по тарифам (в сумме 100%)</t>
  </si>
  <si>
    <t xml:space="preserve">Старт</t>
  </si>
  <si>
    <t xml:space="preserve">Про</t>
  </si>
  <si>
    <t xml:space="preserve">Агентство</t>
  </si>
  <si>
    <t xml:space="preserve">yaSEO — сценарий «осторожный», 24 месяцев, ₽</t>
  </si>
  <si>
    <t xml:space="preserve">Месяц</t>
  </si>
  <si>
    <t xml:space="preserve">Поток</t>
  </si>
  <si>
    <t xml:space="preserve">Посетители бесплатных каналов</t>
  </si>
  <si>
    <t xml:space="preserve">Посетители из рекламы</t>
  </si>
  <si>
    <t xml:space="preserve">Посетители всего</t>
  </si>
  <si>
    <t xml:space="preserve">Бесплатные проверки (регистрации)</t>
  </si>
  <si>
    <t xml:space="preserve">Новые подписчики</t>
  </si>
  <si>
    <t xml:space="preserve">Разовые аудиты</t>
  </si>
  <si>
    <t xml:space="preserve">Подписчики</t>
  </si>
  <si>
    <t xml:space="preserve">Ушло подписчиков</t>
  </si>
  <si>
    <t xml:space="preserve">Активные подписчики</t>
  </si>
  <si>
    <t xml:space="preserve">  из них Старт</t>
  </si>
  <si>
    <t xml:space="preserve">  из них Про</t>
  </si>
  <si>
    <t xml:space="preserve">  из них Агентство</t>
  </si>
  <si>
    <t xml:space="preserve">Выручка</t>
  </si>
  <si>
    <t xml:space="preserve">Подписки</t>
  </si>
  <si>
    <t xml:space="preserve">Выручка всего</t>
  </si>
  <si>
    <t xml:space="preserve">Переменные расходы</t>
  </si>
  <si>
    <t xml:space="preserve">API Яндекса: подписчики</t>
  </si>
  <si>
    <t xml:space="preserve">API Яндекса: разовые аудиты</t>
  </si>
  <si>
    <t xml:space="preserve">API Яндекса: бесплатные проверки</t>
  </si>
  <si>
    <t xml:space="preserve">LLM: тексты рекомендаций</t>
  </si>
  <si>
    <t xml:space="preserve">Налоги и взносы</t>
  </si>
  <si>
    <t xml:space="preserve">Выручка за 12 месяцев (для порога НДС)</t>
  </si>
  <si>
    <t xml:space="preserve">Налог УСН</t>
  </si>
  <si>
    <t xml:space="preserve">НДС</t>
  </si>
  <si>
    <t xml:space="preserve">Страховые взносы ИП</t>
  </si>
  <si>
    <t xml:space="preserve">Постоянные расходы</t>
  </si>
  <si>
    <t xml:space="preserve">Сервер, база, касса, домен, прочее</t>
  </si>
  <si>
    <t xml:space="preserve">Реклама</t>
  </si>
  <si>
    <t xml:space="preserve">Итог</t>
  </si>
  <si>
    <t xml:space="preserve">Расходы всего</t>
  </si>
  <si>
    <t xml:space="preserve">Прибыль за месяц</t>
  </si>
  <si>
    <t xml:space="preserve">Накопленный итог</t>
  </si>
  <si>
    <t xml:space="preserve">Месяц прибыльный (1 — да)</t>
  </si>
  <si>
    <t xml:space="preserve">Вложения возвращены (1 — да)</t>
  </si>
  <si>
    <t xml:space="preserve">yaSEO — сценарий «средний», 24 месяцев, ₽</t>
  </si>
  <si>
    <t xml:space="preserve">yaSEO — сценарий «смелый», 24 месяцев, ₽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</si>
</sst>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#,##0.0;\(#,##0.0\);\-"/>
    <numFmt numFmtId="166" formatCode="#,##0;\(#,##0\);\-"/>
    <numFmt numFmtId="167" formatCode="0"/>
    <numFmt numFmtId="168" formatCode="#,##0.00;\(#,##0.00\);\-"/>
    <numFmt numFmtId="169" formatCode="0.0%;\(0.0%\);\-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08000"/>
      <name val="Arial"/>
      <family val="0"/>
      <charset val="1"/>
    </font>
    <font>
      <sz val="10"/>
      <color rgb="FF0000FF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E7E6E6"/>
        <bgColor rgb="FFFFFFCC"/>
      </patternFill>
    </fill>
    <fill>
      <patternFill patternType="solid">
        <fgColor rgb="FFFFFF00"/>
        <bgColor rgb="FFFFFF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8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5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5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5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E7E6E6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 pitchFamily="0" charset="1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6"/>
    <col collapsed="false" customWidth="true" hidden="false" outlineLevel="0" max="4" min="2" style="0" width="22"/>
  </cols>
  <sheetData>
    <row r="1" customFormat="false" ht="17.35" hidden="false" customHeight="false" outlineLevel="0" collapsed="false">
      <c r="A1" s="1" t="s">
        <v>0</v>
      </c>
    </row>
    <row r="2" customFormat="false" ht="31.5" hidden="false" customHeight="true" outlineLevel="0" collapsed="false">
      <c r="A2" s="2" t="s">
        <v>1</v>
      </c>
      <c r="B2" s="2"/>
      <c r="C2" s="2"/>
      <c r="D2" s="2"/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</row>
    <row r="5" customFormat="false" ht="15" hidden="false" customHeight="false" outlineLevel="0" collapsed="false">
      <c r="A5" s="4" t="s">
        <v>6</v>
      </c>
      <c r="B5" s="5" t="n">
        <f aca="false">Осторожный!M13</f>
        <v>1.57117675941222</v>
      </c>
      <c r="C5" s="5" t="n">
        <f aca="false">Средний!M13</f>
        <v>21.6702038514774</v>
      </c>
      <c r="D5" s="5" t="n">
        <f aca="false">Смелый!M13</f>
        <v>269.239857373994</v>
      </c>
    </row>
    <row r="6" customFormat="false" ht="15" hidden="false" customHeight="false" outlineLevel="0" collapsed="false">
      <c r="A6" s="4" t="s">
        <v>7</v>
      </c>
      <c r="B6" s="5" t="n">
        <f aca="false">Осторожный!Y13</f>
        <v>2.89781114406727</v>
      </c>
      <c r="C6" s="5" t="n">
        <f aca="false">Средний!Y13</f>
        <v>46.3816997531639</v>
      </c>
      <c r="D6" s="5" t="n">
        <f aca="false">Смелый!Y13</f>
        <v>726.275141442584</v>
      </c>
    </row>
    <row r="7" customFormat="false" ht="15" hidden="false" customHeight="false" outlineLevel="0" collapsed="false">
      <c r="A7" s="4" t="s">
        <v>8</v>
      </c>
      <c r="B7" s="6" t="n">
        <f aca="false">Осторожный!M18</f>
        <v>4442.18805188617</v>
      </c>
      <c r="C7" s="6" t="n">
        <f aca="false">Средний!M18</f>
        <v>72911.5678786807</v>
      </c>
      <c r="D7" s="6" t="n">
        <f aca="false">Смелый!M18</f>
        <v>1071843.87220587</v>
      </c>
    </row>
    <row r="8" customFormat="false" ht="15" hidden="false" customHeight="false" outlineLevel="0" collapsed="false">
      <c r="A8" s="4" t="s">
        <v>9</v>
      </c>
      <c r="B8" s="6" t="n">
        <f aca="false">Осторожный!Y18</f>
        <v>8192.98144762138</v>
      </c>
      <c r="C8" s="6" t="n">
        <f aca="false">Средний!Y18</f>
        <v>156055.866989495</v>
      </c>
      <c r="D8" s="6" t="n">
        <f aca="false">Смелый!Y18</f>
        <v>2891301.33808293</v>
      </c>
    </row>
    <row r="9" customFormat="false" ht="15" hidden="false" customHeight="false" outlineLevel="0" collapsed="false">
      <c r="A9" s="4" t="s">
        <v>10</v>
      </c>
      <c r="B9" s="6" t="n">
        <f aca="false">SUM(Осторожный!B20:M20)</f>
        <v>32098.5946114036</v>
      </c>
      <c r="C9" s="6" t="n">
        <f aca="false">SUM(Средний!B20:M20)</f>
        <v>521052.501776626</v>
      </c>
      <c r="D9" s="6" t="n">
        <f aca="false">SUM(Смелый!B20:M20)</f>
        <v>7149684.22092819</v>
      </c>
    </row>
    <row r="10" customFormat="false" ht="15" hidden="false" customHeight="false" outlineLevel="0" collapsed="false">
      <c r="A10" s="4" t="s">
        <v>11</v>
      </c>
      <c r="B10" s="6" t="n">
        <f aca="false">SUM(Осторожный!N20:Y20)</f>
        <v>80077.9958627188</v>
      </c>
      <c r="C10" s="6" t="n">
        <f aca="false">SUM(Средний!N20:Y20)</f>
        <v>1454192.02273912</v>
      </c>
      <c r="D10" s="6" t="n">
        <f aca="false">SUM(Смелый!N20:Y20)</f>
        <v>24191992.465471</v>
      </c>
    </row>
    <row r="11" customFormat="false" ht="15" hidden="false" customHeight="false" outlineLevel="0" collapsed="false">
      <c r="A11" s="4" t="s">
        <v>12</v>
      </c>
      <c r="B11" s="6" t="n">
        <f aca="false">SUM(Осторожный!B38:M38)</f>
        <v>-116002.15890589</v>
      </c>
      <c r="C11" s="6" t="n">
        <f aca="false">SUM(Средний!B38:M38)</f>
        <v>-105871.016023209</v>
      </c>
      <c r="D11" s="6" t="n">
        <f aca="false">SUM(Смелый!B38:M38)</f>
        <v>4145770.50227091</v>
      </c>
    </row>
    <row r="12" customFormat="false" ht="15" hidden="false" customHeight="false" outlineLevel="0" collapsed="false">
      <c r="A12" s="4" t="s">
        <v>13</v>
      </c>
      <c r="B12" s="6" t="n">
        <f aca="false">SUM(Осторожный!N38:Y38)</f>
        <v>-81470.2496711364</v>
      </c>
      <c r="C12" s="6" t="n">
        <f aca="false">SUM(Средний!N38:Y38)</f>
        <v>591811.336409144</v>
      </c>
      <c r="D12" s="6" t="n">
        <f aca="false">SUM(Смелый!N38:Y38)</f>
        <v>16762761.9317503</v>
      </c>
    </row>
    <row r="13" customFormat="false" ht="15" hidden="false" customHeight="false" outlineLevel="0" collapsed="false">
      <c r="A13" s="4" t="s">
        <v>14</v>
      </c>
      <c r="B13" s="6" t="n">
        <f aca="false">Осторожный!Y39</f>
        <v>-197472.408577026</v>
      </c>
      <c r="C13" s="6" t="n">
        <f aca="false">Средний!Y39</f>
        <v>485940.320385934</v>
      </c>
      <c r="D13" s="6" t="n">
        <f aca="false">Смелый!Y39</f>
        <v>20908532.4340212</v>
      </c>
    </row>
    <row r="14" customFormat="false" ht="15" hidden="false" customHeight="false" outlineLevel="0" collapsed="false">
      <c r="A14" s="4" t="s">
        <v>15</v>
      </c>
      <c r="B14" s="6" t="n">
        <f aca="false">MIN(0,MIN(Осторожный!B39:Y39))</f>
        <v>-197472.408577026</v>
      </c>
      <c r="C14" s="6" t="n">
        <f aca="false">MIN(0,MIN(Средний!B39:Y39))</f>
        <v>-143714.20603752</v>
      </c>
      <c r="D14" s="6" t="n">
        <f aca="false">MIN(0,MIN(Смелый!B39:Y39))</f>
        <v>-24320.74896</v>
      </c>
    </row>
    <row r="15" customFormat="false" ht="15" hidden="false" customHeight="false" outlineLevel="0" collapsed="false">
      <c r="A15" s="4" t="s">
        <v>16</v>
      </c>
      <c r="B15" s="7" t="str">
        <f aca="false">IFERROR(MATCH(1,Осторожный!B40:Y40,0),"за 24 месяца нет")</f>
        <v>за 24 месяца нет</v>
      </c>
      <c r="C15" s="7" t="n">
        <f aca="false">IFERROR(MATCH(1,Средний!B40:Y40,0),"за 24 месяца нет")</f>
        <v>9</v>
      </c>
      <c r="D15" s="7" t="n">
        <f aca="false">IFERROR(MATCH(1,Смелый!B40:Y40,0),"за 24 месяца нет")</f>
        <v>2</v>
      </c>
    </row>
    <row r="16" customFormat="false" ht="15" hidden="false" customHeight="false" outlineLevel="0" collapsed="false">
      <c r="A16" s="4" t="s">
        <v>17</v>
      </c>
      <c r="B16" s="7" t="str">
        <f aca="false">IFERROR(MATCH(1,Осторожный!B41:Y41,0),"за 24 месяца нет")</f>
        <v>за 24 месяца нет</v>
      </c>
      <c r="C16" s="7" t="n">
        <f aca="false">IFERROR(MATCH(1,Средний!B41:Y41,0),"за 24 месяца нет")</f>
        <v>16</v>
      </c>
      <c r="D16" s="7" t="n">
        <f aca="false">IFERROR(MATCH(1,Смелый!B41:Y41,0),"за 24 месяца нет")</f>
        <v>2</v>
      </c>
    </row>
    <row r="17" customFormat="false" ht="15" hidden="false" customHeight="false" outlineLevel="0" collapsed="false">
      <c r="A17" s="4" t="s">
        <v>18</v>
      </c>
      <c r="B17" s="5" t="n">
        <f aca="false">IF(B19&gt;0,(Параметры!$B$32+Параметры!$B$33+Параметры!$B$34+Параметры!$B$35+Параметры!$B$36+Параметры!$B$41+Параметры!$B$37+Параметры!$B$28/12)/B19,0)</f>
        <v>5.75898459278313</v>
      </c>
      <c r="C17" s="5" t="n">
        <f aca="false">IF(C19&gt;0,(Параметры!$C$32+Параметры!$C$33+Параметры!$C$34+Параметры!$C$35+Параметры!$C$36+Параметры!$C$41+Параметры!$C$37+Параметры!$C$28/12)/C19,0)</f>
        <v>16.5561819620414</v>
      </c>
      <c r="D17" s="5" t="n">
        <f aca="false">IF(D19&gt;0,(Параметры!$D$32+Параметры!$D$33+Параметры!$D$34+Параметры!$D$35+Параметры!$D$36+Параметры!$D$41+Параметры!$D$37+Параметры!$D$28/12)/D19,0)</f>
        <v>36.7131118468112</v>
      </c>
    </row>
    <row r="18" customFormat="false" ht="15" hidden="false" customHeight="false" outlineLevel="0" collapsed="false">
      <c r="A18" s="4" t="s">
        <v>19</v>
      </c>
      <c r="B18" s="6" t="n">
        <f aca="false">Параметры!$B$49*Параметры!$B$6+Параметры!$B$50*Параметры!$B$7+Параметры!$B$51*Параметры!$B$8</f>
        <v>2827.3</v>
      </c>
      <c r="C18" s="6" t="n">
        <f aca="false">Параметры!$C$49*Параметры!$C$6+Параметры!$C$50*Параметры!$C$7+Параметры!$C$51*Параметры!$C$8</f>
        <v>3364.6</v>
      </c>
      <c r="D18" s="6" t="n">
        <f aca="false">Параметры!$D$49*Параметры!$D$6+Параметры!$D$50*Параметры!$D$7+Параметры!$D$51*Параметры!$D$8</f>
        <v>3981</v>
      </c>
    </row>
    <row r="19" customFormat="false" ht="15" hidden="false" customHeight="false" outlineLevel="0" collapsed="false">
      <c r="A19" s="4" t="s">
        <v>20</v>
      </c>
      <c r="B19" s="8" t="n">
        <f aca="false">B18*(1-Параметры!$B$24-Параметры!$B$25-Параметры!$B$30)-(Параметры!$B$49*Параметры!$B$11+Параметры!$B$50*Параметры!$B$12+Параметры!$B$51*Параметры!$B$13)*Параметры!$B$16-(Параметры!$B$49*Параметры!$B$20+Параметры!$B$50*Параметры!$B$21+Параметры!$B$51*Параметры!$B$22)*Параметры!$B$16*Параметры!$B$18</f>
        <v>2011.0316</v>
      </c>
      <c r="C19" s="8" t="n">
        <f aca="false">C18*(1-Параметры!$C$24-Параметры!$C$25-Параметры!$C$30)-(Параметры!$C$49*Параметры!$C$11+Параметры!$C$50*Параметры!$C$12+Параметры!$C$51*Параметры!$C$13)*Параметры!$C$16-(Параметры!$C$49*Параметры!$C$20+Параметры!$C$50*Параметры!$C$21+Параметры!$C$51*Параметры!$C$22)*Параметры!$C$16*Параметры!$C$18</f>
        <v>2511.5392</v>
      </c>
      <c r="D19" s="8" t="n">
        <f aca="false">D18*(1-Параметры!$D$24-Параметры!$D$25-Параметры!$D$30)-(Параметры!$D$49*Параметры!$D$11+Параметры!$D$50*Параметры!$D$12+Параметры!$D$51*Параметры!$D$13)*Параметры!$D$16-(Параметры!$D$49*Параметры!$D$20+Параметры!$D$50*Параметры!$D$21+Параметры!$D$51*Параметры!$D$22)*Параметры!$D$16*Параметры!$D$18</f>
        <v>3039.282</v>
      </c>
    </row>
    <row r="20" customFormat="false" ht="15" hidden="false" customHeight="false" outlineLevel="0" collapsed="false">
      <c r="A20" s="4" t="s">
        <v>21</v>
      </c>
      <c r="B20" s="5" t="n">
        <f aca="false">IF(Параметры!$B$47&gt;0,1/Параметры!$B$47,0)</f>
        <v>14.2857142857143</v>
      </c>
      <c r="C20" s="5" t="n">
        <f aca="false">IF(Параметры!$C$47&gt;0,1/Параметры!$C$47,0)</f>
        <v>20</v>
      </c>
      <c r="D20" s="5" t="n">
        <f aca="false">IF(Параметры!$D$47&gt;0,1/Параметры!$D$47,0)</f>
        <v>33.3333333333333</v>
      </c>
    </row>
    <row r="21" customFormat="false" ht="15" hidden="false" customHeight="false" outlineLevel="0" collapsed="false">
      <c r="A21" s="4" t="s">
        <v>22</v>
      </c>
      <c r="B21" s="8" t="n">
        <f aca="false">B19*B20</f>
        <v>28729.0228571429</v>
      </c>
      <c r="C21" s="8" t="n">
        <f aca="false">C19*C20</f>
        <v>50230.784</v>
      </c>
      <c r="D21" s="8" t="n">
        <f aca="false">D19*D20</f>
        <v>101309.4</v>
      </c>
    </row>
    <row r="22" customFormat="false" ht="15" hidden="false" customHeight="false" outlineLevel="0" collapsed="false">
      <c r="A22" s="4" t="s">
        <v>23</v>
      </c>
      <c r="B22" s="6" t="str">
        <f aca="false">IF(Параметры!$B$41=0,"рекламы нет",IF(Параметры!$B$44*Параметры!$B$45&gt;0,Параметры!$B$42/(Параметры!$B$44*Параметры!$B$45),0))</f>
        <v>рекламы нет</v>
      </c>
      <c r="C22" s="6" t="n">
        <f aca="false">IF(Параметры!$C$41=0,"рекламы нет",IF(Параметры!$C$44*Параметры!$C$45&gt;0,Параметры!$C$42/(Параметры!$C$44*Параметры!$C$45),0))</f>
        <v>31250</v>
      </c>
      <c r="D22" s="6" t="n">
        <f aca="false">IF(Параметры!$D$41=0,"рекламы нет",IF(Параметры!$D$44*Параметры!$D$45&gt;0,Параметры!$D$42/(Параметры!$D$44*Параметры!$D$45),0))</f>
        <v>7142.85714285714</v>
      </c>
    </row>
  </sheetData>
  <mergeCells count="1">
    <mergeCell ref="A2:D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5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  <col collapsed="false" customWidth="true" hidden="false" outlineLevel="0" max="4" min="2" style="0" width="14"/>
    <col collapsed="false" customWidth="true" hidden="false" outlineLevel="0" max="5" min="5" style="0" width="16"/>
    <col collapsed="false" customWidth="true" hidden="false" outlineLevel="0" max="6" min="6" style="0" width="90"/>
  </cols>
  <sheetData>
    <row r="1" customFormat="false" ht="17.35" hidden="false" customHeight="false" outlineLevel="0" collapsed="false">
      <c r="A1" s="1" t="s">
        <v>24</v>
      </c>
    </row>
    <row r="2" customFormat="false" ht="43.5" hidden="false" customHeight="true" outlineLevel="0" collapsed="false">
      <c r="A2" s="2" t="s">
        <v>25</v>
      </c>
      <c r="B2" s="2"/>
      <c r="C2" s="2"/>
      <c r="D2" s="2"/>
      <c r="E2" s="2"/>
      <c r="F2" s="2"/>
    </row>
    <row r="4" customFormat="false" ht="15" hidden="false" customHeight="false" outlineLevel="0" collapsed="false">
      <c r="A4" s="3" t="s">
        <v>26</v>
      </c>
      <c r="B4" s="3" t="s">
        <v>3</v>
      </c>
      <c r="C4" s="3" t="s">
        <v>4</v>
      </c>
      <c r="D4" s="3" t="s">
        <v>5</v>
      </c>
      <c r="E4" s="3" t="s">
        <v>27</v>
      </c>
      <c r="F4" s="3" t="s">
        <v>28</v>
      </c>
    </row>
    <row r="5" customFormat="false" ht="15" hidden="false" customHeight="false" outlineLevel="0" collapsed="false">
      <c r="A5" s="9" t="s">
        <v>29</v>
      </c>
    </row>
    <row r="6" customFormat="false" ht="15" hidden="false" customHeight="false" outlineLevel="0" collapsed="false">
      <c r="A6" s="4" t="s">
        <v>30</v>
      </c>
      <c r="B6" s="8" t="n">
        <f aca="false">C6</f>
        <v>1990</v>
      </c>
      <c r="C6" s="10" t="n">
        <v>1990</v>
      </c>
      <c r="D6" s="8" t="n">
        <f aca="false">C6</f>
        <v>1990</v>
      </c>
      <c r="E6" s="4" t="s">
        <v>31</v>
      </c>
      <c r="F6" s="11" t="s">
        <v>32</v>
      </c>
    </row>
    <row r="7" customFormat="false" ht="15" hidden="false" customHeight="false" outlineLevel="0" collapsed="false">
      <c r="A7" s="4" t="s">
        <v>33</v>
      </c>
      <c r="B7" s="8" t="n">
        <f aca="false">C7</f>
        <v>4990</v>
      </c>
      <c r="C7" s="10" t="n">
        <v>4990</v>
      </c>
      <c r="D7" s="8" t="n">
        <f aca="false">C7</f>
        <v>4990</v>
      </c>
      <c r="E7" s="4" t="s">
        <v>31</v>
      </c>
      <c r="F7" s="11" t="s">
        <v>34</v>
      </c>
    </row>
    <row r="8" customFormat="false" ht="15" hidden="false" customHeight="false" outlineLevel="0" collapsed="false">
      <c r="A8" s="4" t="s">
        <v>35</v>
      </c>
      <c r="B8" s="8" t="n">
        <f aca="false">C8</f>
        <v>12900</v>
      </c>
      <c r="C8" s="10" t="n">
        <v>12900</v>
      </c>
      <c r="D8" s="8" t="n">
        <f aca="false">C8</f>
        <v>12900</v>
      </c>
      <c r="E8" s="4" t="s">
        <v>31</v>
      </c>
      <c r="F8" s="11" t="s">
        <v>34</v>
      </c>
    </row>
    <row r="9" customFormat="false" ht="15" hidden="false" customHeight="false" outlineLevel="0" collapsed="false">
      <c r="A9" s="4" t="s">
        <v>36</v>
      </c>
      <c r="B9" s="8" t="n">
        <f aca="false">C9</f>
        <v>1990</v>
      </c>
      <c r="C9" s="10" t="n">
        <v>1990</v>
      </c>
      <c r="D9" s="8" t="n">
        <f aca="false">C9</f>
        <v>1990</v>
      </c>
      <c r="E9" s="4" t="s">
        <v>31</v>
      </c>
      <c r="F9" s="11" t="s">
        <v>34</v>
      </c>
    </row>
    <row r="10" customFormat="false" ht="15" hidden="false" customHeight="false" outlineLevel="0" collapsed="false">
      <c r="A10" s="9" t="s">
        <v>37</v>
      </c>
    </row>
    <row r="11" customFormat="false" ht="23.85" hidden="false" customHeight="false" outlineLevel="0" collapsed="false">
      <c r="A11" s="4" t="s">
        <v>38</v>
      </c>
      <c r="B11" s="8" t="n">
        <f aca="false">C11</f>
        <v>335</v>
      </c>
      <c r="C11" s="10" t="n">
        <v>335</v>
      </c>
      <c r="D11" s="8" t="n">
        <f aca="false">C11</f>
        <v>335</v>
      </c>
      <c r="E11" s="4" t="s">
        <v>39</v>
      </c>
      <c r="F11" s="11" t="s">
        <v>40</v>
      </c>
    </row>
    <row r="12" customFormat="false" ht="23.85" hidden="false" customHeight="false" outlineLevel="0" collapsed="false">
      <c r="A12" s="4" t="s">
        <v>41</v>
      </c>
      <c r="B12" s="8" t="n">
        <f aca="false">C12</f>
        <v>1155</v>
      </c>
      <c r="C12" s="10" t="n">
        <v>1155</v>
      </c>
      <c r="D12" s="8" t="n">
        <f aca="false">C12</f>
        <v>1155</v>
      </c>
      <c r="E12" s="4" t="s">
        <v>39</v>
      </c>
      <c r="F12" s="11" t="s">
        <v>42</v>
      </c>
    </row>
    <row r="13" customFormat="false" ht="23.85" hidden="false" customHeight="false" outlineLevel="0" collapsed="false">
      <c r="A13" s="4" t="s">
        <v>43</v>
      </c>
      <c r="B13" s="8" t="n">
        <f aca="false">C13</f>
        <v>3858</v>
      </c>
      <c r="C13" s="10" t="n">
        <v>3858</v>
      </c>
      <c r="D13" s="8" t="n">
        <f aca="false">C13</f>
        <v>3858</v>
      </c>
      <c r="E13" s="4" t="s">
        <v>39</v>
      </c>
      <c r="F13" s="11" t="s">
        <v>44</v>
      </c>
    </row>
    <row r="14" customFormat="false" ht="23.85" hidden="false" customHeight="false" outlineLevel="0" collapsed="false">
      <c r="A14" s="4" t="s">
        <v>45</v>
      </c>
      <c r="B14" s="12" t="n">
        <f aca="false">C14</f>
        <v>27.77</v>
      </c>
      <c r="C14" s="13" t="n">
        <v>27.77</v>
      </c>
      <c r="D14" s="12" t="n">
        <f aca="false">C14</f>
        <v>27.77</v>
      </c>
      <c r="E14" s="4" t="s">
        <v>31</v>
      </c>
      <c r="F14" s="11" t="s">
        <v>46</v>
      </c>
    </row>
    <row r="15" customFormat="false" ht="23.85" hidden="false" customHeight="false" outlineLevel="0" collapsed="false">
      <c r="A15" s="4" t="s">
        <v>47</v>
      </c>
      <c r="B15" s="12" t="n">
        <f aca="false">C15</f>
        <v>0.4</v>
      </c>
      <c r="C15" s="13" t="n">
        <v>0.4</v>
      </c>
      <c r="D15" s="12" t="n">
        <f aca="false">C15</f>
        <v>0.4</v>
      </c>
      <c r="E15" s="4" t="s">
        <v>31</v>
      </c>
      <c r="F15" s="11" t="s">
        <v>48</v>
      </c>
    </row>
    <row r="16" customFormat="false" ht="15" hidden="false" customHeight="false" outlineLevel="0" collapsed="false">
      <c r="A16" s="4" t="s">
        <v>49</v>
      </c>
      <c r="B16" s="14" t="n">
        <v>0.8</v>
      </c>
      <c r="C16" s="14" t="n">
        <v>0.6</v>
      </c>
      <c r="D16" s="14" t="n">
        <v>0.5</v>
      </c>
      <c r="E16" s="4" t="s">
        <v>50</v>
      </c>
      <c r="F16" s="11" t="s">
        <v>51</v>
      </c>
    </row>
    <row r="17" customFormat="false" ht="15" hidden="false" customHeight="false" outlineLevel="0" collapsed="false">
      <c r="A17" s="9" t="s">
        <v>52</v>
      </c>
    </row>
    <row r="18" customFormat="false" ht="35.05" hidden="false" customHeight="false" outlineLevel="0" collapsed="false">
      <c r="A18" s="4" t="s">
        <v>53</v>
      </c>
      <c r="B18" s="15" t="n">
        <f aca="false">C18</f>
        <v>19.2</v>
      </c>
      <c r="C18" s="16" t="n">
        <v>19.2</v>
      </c>
      <c r="D18" s="15" t="n">
        <f aca="false">C18</f>
        <v>19.2</v>
      </c>
      <c r="E18" s="4" t="s">
        <v>31</v>
      </c>
      <c r="F18" s="11" t="s">
        <v>54</v>
      </c>
    </row>
    <row r="19" customFormat="false" ht="15" hidden="false" customHeight="false" outlineLevel="0" collapsed="false">
      <c r="A19" s="4" t="s">
        <v>55</v>
      </c>
      <c r="B19" s="15" t="n">
        <f aca="false">C19</f>
        <v>4.8</v>
      </c>
      <c r="C19" s="16" t="n">
        <v>4.8</v>
      </c>
      <c r="D19" s="15" t="n">
        <f aca="false">C19</f>
        <v>4.8</v>
      </c>
      <c r="E19" s="4" t="s">
        <v>31</v>
      </c>
      <c r="F19" s="11" t="s">
        <v>56</v>
      </c>
    </row>
    <row r="20" customFormat="false" ht="15" hidden="false" customHeight="false" outlineLevel="0" collapsed="false">
      <c r="A20" s="4" t="s">
        <v>57</v>
      </c>
      <c r="B20" s="17" t="n">
        <f aca="false">C20</f>
        <v>2</v>
      </c>
      <c r="C20" s="18" t="n">
        <v>2</v>
      </c>
      <c r="D20" s="17" t="n">
        <f aca="false">C20</f>
        <v>2</v>
      </c>
      <c r="E20" s="4" t="s">
        <v>58</v>
      </c>
      <c r="F20" s="11" t="s">
        <v>34</v>
      </c>
    </row>
    <row r="21" customFormat="false" ht="15" hidden="false" customHeight="false" outlineLevel="0" collapsed="false">
      <c r="A21" s="4" t="s">
        <v>59</v>
      </c>
      <c r="B21" s="17" t="n">
        <f aca="false">C21</f>
        <v>5</v>
      </c>
      <c r="C21" s="18" t="n">
        <v>5</v>
      </c>
      <c r="D21" s="17" t="n">
        <f aca="false">C21</f>
        <v>5</v>
      </c>
      <c r="E21" s="4" t="s">
        <v>58</v>
      </c>
      <c r="F21" s="11" t="s">
        <v>34</v>
      </c>
    </row>
    <row r="22" customFormat="false" ht="15" hidden="false" customHeight="false" outlineLevel="0" collapsed="false">
      <c r="A22" s="4" t="s">
        <v>60</v>
      </c>
      <c r="B22" s="17" t="n">
        <f aca="false">C22</f>
        <v>20</v>
      </c>
      <c r="C22" s="18" t="n">
        <v>20</v>
      </c>
      <c r="D22" s="17" t="n">
        <f aca="false">C22</f>
        <v>20</v>
      </c>
      <c r="E22" s="4" t="s">
        <v>58</v>
      </c>
      <c r="F22" s="11" t="s">
        <v>34</v>
      </c>
    </row>
    <row r="23" customFormat="false" ht="15" hidden="false" customHeight="false" outlineLevel="0" collapsed="false">
      <c r="A23" s="9" t="s">
        <v>61</v>
      </c>
    </row>
    <row r="24" customFormat="false" ht="23.85" hidden="false" customHeight="false" outlineLevel="0" collapsed="false">
      <c r="A24" s="4" t="s">
        <v>62</v>
      </c>
      <c r="B24" s="19" t="n">
        <f aca="false">C24</f>
        <v>0.038</v>
      </c>
      <c r="C24" s="20" t="n">
        <v>0.038</v>
      </c>
      <c r="D24" s="19" t="n">
        <f aca="false">C24</f>
        <v>0.038</v>
      </c>
      <c r="E24" s="4" t="s">
        <v>63</v>
      </c>
      <c r="F24" s="11" t="s">
        <v>64</v>
      </c>
    </row>
    <row r="25" customFormat="false" ht="23.85" hidden="false" customHeight="false" outlineLevel="0" collapsed="false">
      <c r="A25" s="4" t="s">
        <v>65</v>
      </c>
      <c r="B25" s="21" t="n">
        <f aca="false">C25</f>
        <v>0.06</v>
      </c>
      <c r="C25" s="14" t="n">
        <v>0.06</v>
      </c>
      <c r="D25" s="21" t="n">
        <f aca="false">C25</f>
        <v>0.06</v>
      </c>
      <c r="E25" s="4" t="s">
        <v>63</v>
      </c>
      <c r="F25" s="11" t="s">
        <v>66</v>
      </c>
    </row>
    <row r="26" customFormat="false" ht="23.85" hidden="false" customHeight="false" outlineLevel="0" collapsed="false">
      <c r="A26" s="4" t="s">
        <v>67</v>
      </c>
      <c r="B26" s="8" t="n">
        <f aca="false">C26</f>
        <v>20000000</v>
      </c>
      <c r="C26" s="10" t="n">
        <v>20000000</v>
      </c>
      <c r="D26" s="8" t="n">
        <f aca="false">C26</f>
        <v>20000000</v>
      </c>
      <c r="E26" s="4" t="s">
        <v>31</v>
      </c>
      <c r="F26" s="11" t="s">
        <v>68</v>
      </c>
    </row>
    <row r="27" customFormat="false" ht="15" hidden="false" customHeight="false" outlineLevel="0" collapsed="false">
      <c r="A27" s="4" t="s">
        <v>69</v>
      </c>
      <c r="B27" s="19" t="n">
        <f aca="false">C27</f>
        <v>0.05</v>
      </c>
      <c r="C27" s="20" t="n">
        <v>0.05</v>
      </c>
      <c r="D27" s="19" t="n">
        <f aca="false">C27</f>
        <v>0.05</v>
      </c>
      <c r="E27" s="4" t="s">
        <v>63</v>
      </c>
      <c r="F27" s="11" t="s">
        <v>70</v>
      </c>
    </row>
    <row r="28" customFormat="false" ht="23.85" hidden="false" customHeight="false" outlineLevel="0" collapsed="false">
      <c r="A28" s="4" t="s">
        <v>71</v>
      </c>
      <c r="B28" s="22" t="n">
        <f aca="false">C28</f>
        <v>57390</v>
      </c>
      <c r="C28" s="23" t="n">
        <v>57390</v>
      </c>
      <c r="D28" s="22" t="n">
        <f aca="false">C28</f>
        <v>57390</v>
      </c>
      <c r="E28" s="4" t="s">
        <v>72</v>
      </c>
      <c r="F28" s="11" t="s">
        <v>73</v>
      </c>
    </row>
    <row r="29" customFormat="false" ht="15" hidden="false" customHeight="false" outlineLevel="0" collapsed="false">
      <c r="A29" s="4" t="s">
        <v>74</v>
      </c>
      <c r="B29" s="22" t="n">
        <f aca="false">C29</f>
        <v>300000</v>
      </c>
      <c r="C29" s="23" t="n">
        <v>300000</v>
      </c>
      <c r="D29" s="22" t="n">
        <f aca="false">C29</f>
        <v>300000</v>
      </c>
      <c r="E29" s="4" t="s">
        <v>72</v>
      </c>
      <c r="F29" s="11" t="s">
        <v>75</v>
      </c>
    </row>
    <row r="30" customFormat="false" ht="23.85" hidden="false" customHeight="false" outlineLevel="0" collapsed="false">
      <c r="A30" s="4" t="s">
        <v>76</v>
      </c>
      <c r="B30" s="21" t="n">
        <f aca="false">C30</f>
        <v>0.01</v>
      </c>
      <c r="C30" s="14" t="n">
        <v>0.01</v>
      </c>
      <c r="D30" s="21" t="n">
        <f aca="false">C30</f>
        <v>0.01</v>
      </c>
      <c r="E30" s="4" t="s">
        <v>50</v>
      </c>
      <c r="F30" s="11" t="s">
        <v>77</v>
      </c>
    </row>
    <row r="31" customFormat="false" ht="15" hidden="false" customHeight="false" outlineLevel="0" collapsed="false">
      <c r="A31" s="9" t="s">
        <v>78</v>
      </c>
    </row>
    <row r="32" customFormat="false" ht="23.85" hidden="false" customHeight="false" outlineLevel="0" collapsed="false">
      <c r="A32" s="4" t="s">
        <v>79</v>
      </c>
      <c r="B32" s="8" t="n">
        <f aca="false">C32</f>
        <v>1800</v>
      </c>
      <c r="C32" s="10" t="n">
        <v>1800</v>
      </c>
      <c r="D32" s="8" t="n">
        <f aca="false">C32</f>
        <v>1800</v>
      </c>
      <c r="E32" s="4" t="s">
        <v>31</v>
      </c>
      <c r="F32" s="11" t="s">
        <v>80</v>
      </c>
    </row>
    <row r="33" customFormat="false" ht="23.85" hidden="false" customHeight="false" outlineLevel="0" collapsed="false">
      <c r="A33" s="4" t="s">
        <v>81</v>
      </c>
      <c r="B33" s="8" t="n">
        <f aca="false">C33</f>
        <v>999</v>
      </c>
      <c r="C33" s="10" t="n">
        <v>999</v>
      </c>
      <c r="D33" s="8" t="n">
        <f aca="false">C33</f>
        <v>999</v>
      </c>
      <c r="E33" s="4" t="s">
        <v>31</v>
      </c>
      <c r="F33" s="11" t="s">
        <v>82</v>
      </c>
    </row>
    <row r="34" customFormat="false" ht="15" hidden="false" customHeight="false" outlineLevel="0" collapsed="false">
      <c r="A34" s="4" t="s">
        <v>83</v>
      </c>
      <c r="B34" s="8" t="n">
        <f aca="false">C34</f>
        <v>0</v>
      </c>
      <c r="C34" s="10" t="n">
        <v>0</v>
      </c>
      <c r="D34" s="8" t="n">
        <f aca="false">C34</f>
        <v>0</v>
      </c>
      <c r="E34" s="4" t="s">
        <v>31</v>
      </c>
      <c r="F34" s="11" t="s">
        <v>84</v>
      </c>
    </row>
    <row r="35" customFormat="false" ht="15" hidden="false" customHeight="false" outlineLevel="0" collapsed="false">
      <c r="A35" s="4" t="s">
        <v>85</v>
      </c>
      <c r="B35" s="22" t="n">
        <f aca="false">C35</f>
        <v>1000</v>
      </c>
      <c r="C35" s="23" t="n">
        <v>1000</v>
      </c>
      <c r="D35" s="22" t="n">
        <f aca="false">C35</f>
        <v>1000</v>
      </c>
      <c r="E35" s="4" t="s">
        <v>31</v>
      </c>
      <c r="F35" s="11" t="s">
        <v>86</v>
      </c>
    </row>
    <row r="36" customFormat="false" ht="15" hidden="false" customHeight="false" outlineLevel="0" collapsed="false">
      <c r="A36" s="4" t="s">
        <v>87</v>
      </c>
      <c r="B36" s="22" t="n">
        <f aca="false">C36</f>
        <v>3000</v>
      </c>
      <c r="C36" s="23" t="n">
        <v>3000</v>
      </c>
      <c r="D36" s="22" t="n">
        <f aca="false">C36</f>
        <v>3000</v>
      </c>
      <c r="E36" s="4" t="s">
        <v>31</v>
      </c>
      <c r="F36" s="11" t="s">
        <v>86</v>
      </c>
    </row>
    <row r="37" customFormat="false" ht="15" hidden="false" customHeight="false" outlineLevel="0" collapsed="false">
      <c r="A37" s="4" t="s">
        <v>88</v>
      </c>
      <c r="B37" s="22" t="n">
        <f aca="false">C37</f>
        <v>0</v>
      </c>
      <c r="C37" s="23" t="n">
        <v>0</v>
      </c>
      <c r="D37" s="22" t="n">
        <f aca="false">C37</f>
        <v>0</v>
      </c>
      <c r="E37" s="4" t="s">
        <v>31</v>
      </c>
      <c r="F37" s="11" t="s">
        <v>89</v>
      </c>
    </row>
    <row r="38" customFormat="false" ht="15" hidden="false" customHeight="false" outlineLevel="0" collapsed="false">
      <c r="A38" s="9" t="s">
        <v>90</v>
      </c>
    </row>
    <row r="39" customFormat="false" ht="15" hidden="false" customHeight="false" outlineLevel="0" collapsed="false">
      <c r="A39" s="4" t="s">
        <v>91</v>
      </c>
      <c r="B39" s="24" t="n">
        <v>300</v>
      </c>
      <c r="C39" s="24" t="n">
        <v>600</v>
      </c>
      <c r="D39" s="24" t="n">
        <v>1200</v>
      </c>
      <c r="E39" s="4" t="s">
        <v>92</v>
      </c>
      <c r="F39" s="11" t="s">
        <v>93</v>
      </c>
    </row>
    <row r="40" customFormat="false" ht="15" hidden="false" customHeight="false" outlineLevel="0" collapsed="false">
      <c r="A40" s="4" t="s">
        <v>94</v>
      </c>
      <c r="B40" s="14" t="n">
        <v>0.03</v>
      </c>
      <c r="C40" s="14" t="n">
        <v>0.06</v>
      </c>
      <c r="D40" s="14" t="n">
        <v>0.1</v>
      </c>
      <c r="E40" s="4" t="s">
        <v>50</v>
      </c>
      <c r="F40" s="11" t="s">
        <v>86</v>
      </c>
    </row>
    <row r="41" customFormat="false" ht="15" hidden="false" customHeight="false" outlineLevel="0" collapsed="false">
      <c r="A41" s="4" t="s">
        <v>95</v>
      </c>
      <c r="B41" s="23" t="n">
        <v>0</v>
      </c>
      <c r="C41" s="23" t="n">
        <v>30000</v>
      </c>
      <c r="D41" s="23" t="n">
        <v>100000</v>
      </c>
      <c r="E41" s="4" t="s">
        <v>31</v>
      </c>
      <c r="F41" s="11" t="s">
        <v>96</v>
      </c>
    </row>
    <row r="42" customFormat="false" ht="15" hidden="false" customHeight="false" outlineLevel="0" collapsed="false">
      <c r="A42" s="4" t="s">
        <v>97</v>
      </c>
      <c r="B42" s="23" t="n">
        <v>60</v>
      </c>
      <c r="C42" s="23" t="n">
        <v>50</v>
      </c>
      <c r="D42" s="23" t="n">
        <v>40</v>
      </c>
      <c r="E42" s="4" t="s">
        <v>31</v>
      </c>
      <c r="F42" s="11" t="s">
        <v>98</v>
      </c>
    </row>
    <row r="43" customFormat="false" ht="15" hidden="false" customHeight="false" outlineLevel="0" collapsed="false">
      <c r="A43" s="9" t="s">
        <v>99</v>
      </c>
    </row>
    <row r="44" customFormat="false" ht="35.05" hidden="false" customHeight="false" outlineLevel="0" collapsed="false">
      <c r="A44" s="4" t="s">
        <v>100</v>
      </c>
      <c r="B44" s="14" t="n">
        <v>0.02</v>
      </c>
      <c r="C44" s="14" t="n">
        <v>0.04</v>
      </c>
      <c r="D44" s="14" t="n">
        <v>0.08</v>
      </c>
      <c r="E44" s="4" t="s">
        <v>50</v>
      </c>
      <c r="F44" s="11" t="s">
        <v>101</v>
      </c>
    </row>
    <row r="45" customFormat="false" ht="35.05" hidden="false" customHeight="false" outlineLevel="0" collapsed="false">
      <c r="A45" s="4" t="s">
        <v>102</v>
      </c>
      <c r="B45" s="14" t="n">
        <v>0.026</v>
      </c>
      <c r="C45" s="14" t="n">
        <v>0.04</v>
      </c>
      <c r="D45" s="14" t="n">
        <v>0.07</v>
      </c>
      <c r="E45" s="4" t="s">
        <v>50</v>
      </c>
      <c r="F45" s="11" t="s">
        <v>103</v>
      </c>
    </row>
    <row r="46" customFormat="false" ht="15" hidden="false" customHeight="false" outlineLevel="0" collapsed="false">
      <c r="A46" s="4" t="s">
        <v>104</v>
      </c>
      <c r="B46" s="14" t="n">
        <v>0.01</v>
      </c>
      <c r="C46" s="14" t="n">
        <v>0.03</v>
      </c>
      <c r="D46" s="14" t="n">
        <v>0.05</v>
      </c>
      <c r="E46" s="4" t="s">
        <v>50</v>
      </c>
      <c r="F46" s="11" t="s">
        <v>105</v>
      </c>
    </row>
    <row r="47" customFormat="false" ht="23.85" hidden="false" customHeight="false" outlineLevel="0" collapsed="false">
      <c r="A47" s="4" t="s">
        <v>106</v>
      </c>
      <c r="B47" s="14" t="n">
        <v>0.07</v>
      </c>
      <c r="C47" s="14" t="n">
        <v>0.05</v>
      </c>
      <c r="D47" s="14" t="n">
        <v>0.03</v>
      </c>
      <c r="E47" s="4" t="s">
        <v>50</v>
      </c>
      <c r="F47" s="11" t="s">
        <v>107</v>
      </c>
    </row>
    <row r="48" customFormat="false" ht="15" hidden="false" customHeight="false" outlineLevel="0" collapsed="false">
      <c r="A48" s="9" t="s">
        <v>108</v>
      </c>
    </row>
    <row r="49" customFormat="false" ht="15" hidden="false" customHeight="false" outlineLevel="0" collapsed="false">
      <c r="A49" s="4" t="s">
        <v>109</v>
      </c>
      <c r="B49" s="14" t="n">
        <v>0.8</v>
      </c>
      <c r="C49" s="14" t="n">
        <v>0.7</v>
      </c>
      <c r="D49" s="14" t="n">
        <v>0.6</v>
      </c>
      <c r="E49" s="4" t="s">
        <v>50</v>
      </c>
      <c r="F49" s="11" t="s">
        <v>86</v>
      </c>
    </row>
    <row r="50" customFormat="false" ht="15" hidden="false" customHeight="false" outlineLevel="0" collapsed="false">
      <c r="A50" s="4" t="s">
        <v>110</v>
      </c>
      <c r="B50" s="14" t="n">
        <v>0.17</v>
      </c>
      <c r="C50" s="14" t="n">
        <v>0.24</v>
      </c>
      <c r="D50" s="14" t="n">
        <v>0.3</v>
      </c>
      <c r="E50" s="4" t="s">
        <v>50</v>
      </c>
      <c r="F50" s="11" t="s">
        <v>86</v>
      </c>
    </row>
    <row r="51" customFormat="false" ht="15" hidden="false" customHeight="false" outlineLevel="0" collapsed="false">
      <c r="A51" s="4" t="s">
        <v>111</v>
      </c>
      <c r="B51" s="14" t="n">
        <v>0.03</v>
      </c>
      <c r="C51" s="14" t="n">
        <v>0.06</v>
      </c>
      <c r="D51" s="14" t="n">
        <v>0.1</v>
      </c>
      <c r="E51" s="4" t="s">
        <v>50</v>
      </c>
      <c r="F51" s="11" t="s">
        <v>86</v>
      </c>
    </row>
  </sheetData>
  <mergeCells count="1">
    <mergeCell ref="A2:F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Y4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4"/>
    <col collapsed="false" customWidth="true" hidden="false" outlineLevel="0" max="25" min="2" style="0" width="12"/>
  </cols>
  <sheetData>
    <row r="1" customFormat="false" ht="17.35" hidden="false" customHeight="false" outlineLevel="0" collapsed="false">
      <c r="A1" s="1" t="s">
        <v>112</v>
      </c>
    </row>
    <row r="3" customFormat="false" ht="15" hidden="false" customHeight="false" outlineLevel="0" collapsed="false">
      <c r="A3" s="3" t="s">
        <v>113</v>
      </c>
      <c r="B3" s="3" t="n">
        <v>1</v>
      </c>
      <c r="C3" s="3" t="n">
        <v>2</v>
      </c>
      <c r="D3" s="3" t="n">
        <v>3</v>
      </c>
      <c r="E3" s="3" t="n">
        <v>4</v>
      </c>
      <c r="F3" s="3" t="n">
        <v>5</v>
      </c>
      <c r="G3" s="3" t="n">
        <v>6</v>
      </c>
      <c r="H3" s="3" t="n">
        <v>7</v>
      </c>
      <c r="I3" s="3" t="n">
        <v>8</v>
      </c>
      <c r="J3" s="3" t="n">
        <v>9</v>
      </c>
      <c r="K3" s="3" t="n">
        <v>10</v>
      </c>
      <c r="L3" s="3" t="n">
        <v>11</v>
      </c>
      <c r="M3" s="3" t="n">
        <v>12</v>
      </c>
      <c r="N3" s="3" t="n">
        <v>13</v>
      </c>
      <c r="O3" s="3" t="n">
        <v>14</v>
      </c>
      <c r="P3" s="3" t="n">
        <v>15</v>
      </c>
      <c r="Q3" s="3" t="n">
        <v>16</v>
      </c>
      <c r="R3" s="3" t="n">
        <v>17</v>
      </c>
      <c r="S3" s="3" t="n">
        <v>18</v>
      </c>
      <c r="T3" s="3" t="n">
        <v>19</v>
      </c>
      <c r="U3" s="3" t="n">
        <v>20</v>
      </c>
      <c r="V3" s="3" t="n">
        <v>21</v>
      </c>
      <c r="W3" s="3" t="n">
        <v>22</v>
      </c>
      <c r="X3" s="3" t="n">
        <v>23</v>
      </c>
      <c r="Y3" s="3" t="n">
        <v>24</v>
      </c>
    </row>
    <row r="4" customFormat="false" ht="15" hidden="false" customHeight="false" outlineLevel="0" collapsed="false">
      <c r="A4" s="9" t="s">
        <v>114</v>
      </c>
    </row>
    <row r="5" customFormat="false" ht="15" hidden="false" customHeight="false" outlineLevel="0" collapsed="false">
      <c r="A5" s="4" t="s">
        <v>115</v>
      </c>
      <c r="B5" s="5" t="n">
        <f aca="false">Параметры!$B$39</f>
        <v>300</v>
      </c>
      <c r="C5" s="5" t="n">
        <f aca="false">B5*(1+Параметры!$B$40)</f>
        <v>309</v>
      </c>
      <c r="D5" s="5" t="n">
        <f aca="false">C5*(1+Параметры!$B$40)</f>
        <v>318.27</v>
      </c>
      <c r="E5" s="5" t="n">
        <f aca="false">D5*(1+Параметры!$B$40)</f>
        <v>327.8181</v>
      </c>
      <c r="F5" s="5" t="n">
        <f aca="false">E5*(1+Параметры!$B$40)</f>
        <v>337.652643</v>
      </c>
      <c r="G5" s="5" t="n">
        <f aca="false">F5*(1+Параметры!$B$40)</f>
        <v>347.78222229</v>
      </c>
      <c r="H5" s="5" t="n">
        <f aca="false">G5*(1+Параметры!$B$40)</f>
        <v>358.2156889587</v>
      </c>
      <c r="I5" s="5" t="n">
        <f aca="false">H5*(1+Параметры!$B$40)</f>
        <v>368.962159627461</v>
      </c>
      <c r="J5" s="5" t="n">
        <f aca="false">I5*(1+Параметры!$B$40)</f>
        <v>380.031024416285</v>
      </c>
      <c r="K5" s="5" t="n">
        <f aca="false">J5*(1+Параметры!$B$40)</f>
        <v>391.431955148773</v>
      </c>
      <c r="L5" s="5" t="n">
        <f aca="false">K5*(1+Параметры!$B$40)</f>
        <v>403.174913803237</v>
      </c>
      <c r="M5" s="5" t="n">
        <f aca="false">L5*(1+Параметры!$B$40)</f>
        <v>415.270161217334</v>
      </c>
      <c r="N5" s="5" t="n">
        <f aca="false">M5*(1+Параметры!$B$40)</f>
        <v>427.728266053854</v>
      </c>
      <c r="O5" s="5" t="n">
        <f aca="false">N5*(1+Параметры!$B$40)</f>
        <v>440.560114035469</v>
      </c>
      <c r="P5" s="5" t="n">
        <f aca="false">O5*(1+Параметры!$B$40)</f>
        <v>453.776917456533</v>
      </c>
      <c r="Q5" s="5" t="n">
        <f aca="false">P5*(1+Параметры!$B$40)</f>
        <v>467.390224980229</v>
      </c>
      <c r="R5" s="5" t="n">
        <f aca="false">Q5*(1+Параметры!$B$40)</f>
        <v>481.411931729636</v>
      </c>
      <c r="S5" s="5" t="n">
        <f aca="false">R5*(1+Параметры!$B$40)</f>
        <v>495.854289681526</v>
      </c>
      <c r="T5" s="5" t="n">
        <f aca="false">S5*(1+Параметры!$B$40)</f>
        <v>510.729918371971</v>
      </c>
      <c r="U5" s="5" t="n">
        <f aca="false">T5*(1+Параметры!$B$40)</f>
        <v>526.05181592313</v>
      </c>
      <c r="V5" s="5" t="n">
        <f aca="false">U5*(1+Параметры!$B$40)</f>
        <v>541.833370400824</v>
      </c>
      <c r="W5" s="5" t="n">
        <f aca="false">V5*(1+Параметры!$B$40)</f>
        <v>558.088371512849</v>
      </c>
      <c r="X5" s="5" t="n">
        <f aca="false">W5*(1+Параметры!$B$40)</f>
        <v>574.831022658235</v>
      </c>
      <c r="Y5" s="5" t="n">
        <f aca="false">X5*(1+Параметры!$B$40)</f>
        <v>592.075953337982</v>
      </c>
    </row>
    <row r="6" customFormat="false" ht="15" hidden="false" customHeight="false" outlineLevel="0" collapsed="false">
      <c r="A6" s="4" t="s">
        <v>116</v>
      </c>
      <c r="B6" s="5" t="n">
        <f aca="false">IF(Параметры!$B$42&gt;0,Параметры!$B$41/Параметры!$B$42,0)</f>
        <v>0</v>
      </c>
      <c r="C6" s="5" t="n">
        <f aca="false">IF(Параметры!$B$42&gt;0,Параметры!$B$41/Параметры!$B$42,0)</f>
        <v>0</v>
      </c>
      <c r="D6" s="5" t="n">
        <f aca="false">IF(Параметры!$B$42&gt;0,Параметры!$B$41/Параметры!$B$42,0)</f>
        <v>0</v>
      </c>
      <c r="E6" s="5" t="n">
        <f aca="false">IF(Параметры!$B$42&gt;0,Параметры!$B$41/Параметры!$B$42,0)</f>
        <v>0</v>
      </c>
      <c r="F6" s="5" t="n">
        <f aca="false">IF(Параметры!$B$42&gt;0,Параметры!$B$41/Параметры!$B$42,0)</f>
        <v>0</v>
      </c>
      <c r="G6" s="5" t="n">
        <f aca="false">IF(Параметры!$B$42&gt;0,Параметры!$B$41/Параметры!$B$42,0)</f>
        <v>0</v>
      </c>
      <c r="H6" s="5" t="n">
        <f aca="false">IF(Параметры!$B$42&gt;0,Параметры!$B$41/Параметры!$B$42,0)</f>
        <v>0</v>
      </c>
      <c r="I6" s="5" t="n">
        <f aca="false">IF(Параметры!$B$42&gt;0,Параметры!$B$41/Параметры!$B$42,0)</f>
        <v>0</v>
      </c>
      <c r="J6" s="5" t="n">
        <f aca="false">IF(Параметры!$B$42&gt;0,Параметры!$B$41/Параметры!$B$42,0)</f>
        <v>0</v>
      </c>
      <c r="K6" s="5" t="n">
        <f aca="false">IF(Параметры!$B$42&gt;0,Параметры!$B$41/Параметры!$B$42,0)</f>
        <v>0</v>
      </c>
      <c r="L6" s="5" t="n">
        <f aca="false">IF(Параметры!$B$42&gt;0,Параметры!$B$41/Параметры!$B$42,0)</f>
        <v>0</v>
      </c>
      <c r="M6" s="5" t="n">
        <f aca="false">IF(Параметры!$B$42&gt;0,Параметры!$B$41/Параметры!$B$42,0)</f>
        <v>0</v>
      </c>
      <c r="N6" s="5" t="n">
        <f aca="false">IF(Параметры!$B$42&gt;0,Параметры!$B$41/Параметры!$B$42,0)</f>
        <v>0</v>
      </c>
      <c r="O6" s="5" t="n">
        <f aca="false">IF(Параметры!$B$42&gt;0,Параметры!$B$41/Параметры!$B$42,0)</f>
        <v>0</v>
      </c>
      <c r="P6" s="5" t="n">
        <f aca="false">IF(Параметры!$B$42&gt;0,Параметры!$B$41/Параметры!$B$42,0)</f>
        <v>0</v>
      </c>
      <c r="Q6" s="5" t="n">
        <f aca="false">IF(Параметры!$B$42&gt;0,Параметры!$B$41/Параметры!$B$42,0)</f>
        <v>0</v>
      </c>
      <c r="R6" s="5" t="n">
        <f aca="false">IF(Параметры!$B$42&gt;0,Параметры!$B$41/Параметры!$B$42,0)</f>
        <v>0</v>
      </c>
      <c r="S6" s="5" t="n">
        <f aca="false">IF(Параметры!$B$42&gt;0,Параметры!$B$41/Параметры!$B$42,0)</f>
        <v>0</v>
      </c>
      <c r="T6" s="5" t="n">
        <f aca="false">IF(Параметры!$B$42&gt;0,Параметры!$B$41/Параметры!$B$42,0)</f>
        <v>0</v>
      </c>
      <c r="U6" s="5" t="n">
        <f aca="false">IF(Параметры!$B$42&gt;0,Параметры!$B$41/Параметры!$B$42,0)</f>
        <v>0</v>
      </c>
      <c r="V6" s="5" t="n">
        <f aca="false">IF(Параметры!$B$42&gt;0,Параметры!$B$41/Параметры!$B$42,0)</f>
        <v>0</v>
      </c>
      <c r="W6" s="5" t="n">
        <f aca="false">IF(Параметры!$B$42&gt;0,Параметры!$B$41/Параметры!$B$42,0)</f>
        <v>0</v>
      </c>
      <c r="X6" s="5" t="n">
        <f aca="false">IF(Параметры!$B$42&gt;0,Параметры!$B$41/Параметры!$B$42,0)</f>
        <v>0</v>
      </c>
      <c r="Y6" s="5" t="n">
        <f aca="false">IF(Параметры!$B$42&gt;0,Параметры!$B$41/Параметры!$B$42,0)</f>
        <v>0</v>
      </c>
    </row>
    <row r="7" customFormat="false" ht="15" hidden="false" customHeight="false" outlineLevel="0" collapsed="false">
      <c r="A7" s="4" t="s">
        <v>117</v>
      </c>
      <c r="B7" s="17" t="n">
        <f aca="false">B5+B6</f>
        <v>300</v>
      </c>
      <c r="C7" s="17" t="n">
        <f aca="false">C5+C6</f>
        <v>309</v>
      </c>
      <c r="D7" s="17" t="n">
        <f aca="false">D5+D6</f>
        <v>318.27</v>
      </c>
      <c r="E7" s="17" t="n">
        <f aca="false">E5+E6</f>
        <v>327.8181</v>
      </c>
      <c r="F7" s="17" t="n">
        <f aca="false">F5+F6</f>
        <v>337.652643</v>
      </c>
      <c r="G7" s="17" t="n">
        <f aca="false">G5+G6</f>
        <v>347.78222229</v>
      </c>
      <c r="H7" s="17" t="n">
        <f aca="false">H5+H6</f>
        <v>358.2156889587</v>
      </c>
      <c r="I7" s="17" t="n">
        <f aca="false">I5+I6</f>
        <v>368.962159627461</v>
      </c>
      <c r="J7" s="17" t="n">
        <f aca="false">J5+J6</f>
        <v>380.031024416285</v>
      </c>
      <c r="K7" s="17" t="n">
        <f aca="false">K5+K6</f>
        <v>391.431955148773</v>
      </c>
      <c r="L7" s="17" t="n">
        <f aca="false">L5+L6</f>
        <v>403.174913803237</v>
      </c>
      <c r="M7" s="17" t="n">
        <f aca="false">M5+M6</f>
        <v>415.270161217334</v>
      </c>
      <c r="N7" s="17" t="n">
        <f aca="false">N5+N6</f>
        <v>427.728266053854</v>
      </c>
      <c r="O7" s="17" t="n">
        <f aca="false">O5+O6</f>
        <v>440.560114035469</v>
      </c>
      <c r="P7" s="17" t="n">
        <f aca="false">P5+P6</f>
        <v>453.776917456533</v>
      </c>
      <c r="Q7" s="17" t="n">
        <f aca="false">Q5+Q6</f>
        <v>467.390224980229</v>
      </c>
      <c r="R7" s="17" t="n">
        <f aca="false">R5+R6</f>
        <v>481.411931729636</v>
      </c>
      <c r="S7" s="17" t="n">
        <f aca="false">S5+S6</f>
        <v>495.854289681526</v>
      </c>
      <c r="T7" s="17" t="n">
        <f aca="false">T5+T6</f>
        <v>510.729918371971</v>
      </c>
      <c r="U7" s="17" t="n">
        <f aca="false">U5+U6</f>
        <v>526.05181592313</v>
      </c>
      <c r="V7" s="17" t="n">
        <f aca="false">V5+V6</f>
        <v>541.833370400824</v>
      </c>
      <c r="W7" s="17" t="n">
        <f aca="false">W5+W6</f>
        <v>558.088371512849</v>
      </c>
      <c r="X7" s="17" t="n">
        <f aca="false">X5+X6</f>
        <v>574.831022658235</v>
      </c>
      <c r="Y7" s="17" t="n">
        <f aca="false">Y5+Y6</f>
        <v>592.075953337982</v>
      </c>
    </row>
    <row r="8" customFormat="false" ht="15" hidden="false" customHeight="false" outlineLevel="0" collapsed="false">
      <c r="A8" s="4" t="s">
        <v>118</v>
      </c>
      <c r="B8" s="5" t="n">
        <f aca="false">B7*Параметры!$B$44</f>
        <v>6</v>
      </c>
      <c r="C8" s="5" t="n">
        <f aca="false">C7*Параметры!$B$44</f>
        <v>6.18</v>
      </c>
      <c r="D8" s="5" t="n">
        <f aca="false">D7*Параметры!$B$44</f>
        <v>6.3654</v>
      </c>
      <c r="E8" s="5" t="n">
        <f aca="false">E7*Параметры!$B$44</f>
        <v>6.556362</v>
      </c>
      <c r="F8" s="5" t="n">
        <f aca="false">F7*Параметры!$B$44</f>
        <v>6.75305286</v>
      </c>
      <c r="G8" s="5" t="n">
        <f aca="false">G7*Параметры!$B$44</f>
        <v>6.9556444458</v>
      </c>
      <c r="H8" s="5" t="n">
        <f aca="false">H7*Параметры!$B$44</f>
        <v>7.164313779174</v>
      </c>
      <c r="I8" s="5" t="n">
        <f aca="false">I7*Параметры!$B$44</f>
        <v>7.37924319254922</v>
      </c>
      <c r="J8" s="5" t="n">
        <f aca="false">J7*Параметры!$B$44</f>
        <v>7.6006204883257</v>
      </c>
      <c r="K8" s="5" t="n">
        <f aca="false">K7*Параметры!$B$44</f>
        <v>7.82863910297547</v>
      </c>
      <c r="L8" s="5" t="n">
        <f aca="false">L7*Параметры!$B$44</f>
        <v>8.06349827606473</v>
      </c>
      <c r="M8" s="5" t="n">
        <f aca="false">M7*Параметры!$B$44</f>
        <v>8.30540322434668</v>
      </c>
      <c r="N8" s="5" t="n">
        <f aca="false">N7*Параметры!$B$44</f>
        <v>8.55456532107708</v>
      </c>
      <c r="O8" s="5" t="n">
        <f aca="false">O7*Параметры!$B$44</f>
        <v>8.81120228070939</v>
      </c>
      <c r="P8" s="5" t="n">
        <f aca="false">P7*Параметры!$B$44</f>
        <v>9.07553834913067</v>
      </c>
      <c r="Q8" s="5" t="n">
        <f aca="false">Q7*Параметры!$B$44</f>
        <v>9.34780449960459</v>
      </c>
      <c r="R8" s="5" t="n">
        <f aca="false">R7*Параметры!$B$44</f>
        <v>9.62823863459273</v>
      </c>
      <c r="S8" s="5" t="n">
        <f aca="false">S7*Параметры!$B$44</f>
        <v>9.91708579363051</v>
      </c>
      <c r="T8" s="5" t="n">
        <f aca="false">T7*Параметры!$B$44</f>
        <v>10.2145983674394</v>
      </c>
      <c r="U8" s="5" t="n">
        <f aca="false">U7*Параметры!$B$44</f>
        <v>10.5210363184626</v>
      </c>
      <c r="V8" s="5" t="n">
        <f aca="false">V7*Параметры!$B$44</f>
        <v>10.8366674080165</v>
      </c>
      <c r="W8" s="5" t="n">
        <f aca="false">W7*Параметры!$B$44</f>
        <v>11.161767430257</v>
      </c>
      <c r="X8" s="5" t="n">
        <f aca="false">X7*Параметры!$B$44</f>
        <v>11.4966204531647</v>
      </c>
      <c r="Y8" s="5" t="n">
        <f aca="false">Y7*Параметры!$B$44</f>
        <v>11.8415190667596</v>
      </c>
    </row>
    <row r="9" customFormat="false" ht="15" hidden="false" customHeight="false" outlineLevel="0" collapsed="false">
      <c r="A9" s="4" t="s">
        <v>119</v>
      </c>
      <c r="B9" s="5" t="n">
        <f aca="false">B8*Параметры!$B$45</f>
        <v>0.156</v>
      </c>
      <c r="C9" s="5" t="n">
        <f aca="false">C8*Параметры!$B$45</f>
        <v>0.16068</v>
      </c>
      <c r="D9" s="5" t="n">
        <f aca="false">D8*Параметры!$B$45</f>
        <v>0.1655004</v>
      </c>
      <c r="E9" s="5" t="n">
        <f aca="false">E8*Параметры!$B$45</f>
        <v>0.170465412</v>
      </c>
      <c r="F9" s="5" t="n">
        <f aca="false">F8*Параметры!$B$45</f>
        <v>0.17557937436</v>
      </c>
      <c r="G9" s="5" t="n">
        <f aca="false">G8*Параметры!$B$45</f>
        <v>0.1808467555908</v>
      </c>
      <c r="H9" s="5" t="n">
        <f aca="false">H8*Параметры!$B$45</f>
        <v>0.186272158258524</v>
      </c>
      <c r="I9" s="5" t="n">
        <f aca="false">I8*Параметры!$B$45</f>
        <v>0.19186032300628</v>
      </c>
      <c r="J9" s="5" t="n">
        <f aca="false">J8*Параметры!$B$45</f>
        <v>0.197616132696468</v>
      </c>
      <c r="K9" s="5" t="n">
        <f aca="false">K8*Параметры!$B$45</f>
        <v>0.203544616677362</v>
      </c>
      <c r="L9" s="5" t="n">
        <f aca="false">L8*Параметры!$B$45</f>
        <v>0.209650955177683</v>
      </c>
      <c r="M9" s="5" t="n">
        <f aca="false">M8*Параметры!$B$45</f>
        <v>0.215940483833014</v>
      </c>
      <c r="N9" s="5" t="n">
        <f aca="false">N8*Параметры!$B$45</f>
        <v>0.222418698348004</v>
      </c>
      <c r="O9" s="5" t="n">
        <f aca="false">O8*Параметры!$B$45</f>
        <v>0.229091259298444</v>
      </c>
      <c r="P9" s="5" t="n">
        <f aca="false">P8*Параметры!$B$45</f>
        <v>0.235963997077397</v>
      </c>
      <c r="Q9" s="5" t="n">
        <f aca="false">Q8*Параметры!$B$45</f>
        <v>0.243042916989719</v>
      </c>
      <c r="R9" s="5" t="n">
        <f aca="false">R8*Параметры!$B$45</f>
        <v>0.250334204499411</v>
      </c>
      <c r="S9" s="5" t="n">
        <f aca="false">S8*Параметры!$B$45</f>
        <v>0.257844230634393</v>
      </c>
      <c r="T9" s="5" t="n">
        <f aca="false">T8*Параметры!$B$45</f>
        <v>0.265579557553425</v>
      </c>
      <c r="U9" s="5" t="n">
        <f aca="false">U8*Параметры!$B$45</f>
        <v>0.273546944280028</v>
      </c>
      <c r="V9" s="5" t="n">
        <f aca="false">V8*Параметры!$B$45</f>
        <v>0.281753352608429</v>
      </c>
      <c r="W9" s="5" t="n">
        <f aca="false">W8*Параметры!$B$45</f>
        <v>0.290205953186681</v>
      </c>
      <c r="X9" s="5" t="n">
        <f aca="false">X8*Параметры!$B$45</f>
        <v>0.298912131782282</v>
      </c>
      <c r="Y9" s="5" t="n">
        <f aca="false">Y8*Параметры!$B$45</f>
        <v>0.30787949573575</v>
      </c>
    </row>
    <row r="10" customFormat="false" ht="15" hidden="false" customHeight="false" outlineLevel="0" collapsed="false">
      <c r="A10" s="4" t="s">
        <v>120</v>
      </c>
      <c r="B10" s="5" t="n">
        <f aca="false">B8*Параметры!$B$46</f>
        <v>0.06</v>
      </c>
      <c r="C10" s="5" t="n">
        <f aca="false">C8*Параметры!$B$46</f>
        <v>0.0618</v>
      </c>
      <c r="D10" s="5" t="n">
        <f aca="false">D8*Параметры!$B$46</f>
        <v>0.063654</v>
      </c>
      <c r="E10" s="5" t="n">
        <f aca="false">E8*Параметры!$B$46</f>
        <v>0.06556362</v>
      </c>
      <c r="F10" s="5" t="n">
        <f aca="false">F8*Параметры!$B$46</f>
        <v>0.0675305286</v>
      </c>
      <c r="G10" s="5" t="n">
        <f aca="false">G8*Параметры!$B$46</f>
        <v>0.069556444458</v>
      </c>
      <c r="H10" s="5" t="n">
        <f aca="false">H8*Параметры!$B$46</f>
        <v>0.07164313779174</v>
      </c>
      <c r="I10" s="5" t="n">
        <f aca="false">I8*Параметры!$B$46</f>
        <v>0.0737924319254922</v>
      </c>
      <c r="J10" s="5" t="n">
        <f aca="false">J8*Параметры!$B$46</f>
        <v>0.076006204883257</v>
      </c>
      <c r="K10" s="5" t="n">
        <f aca="false">K8*Параметры!$B$46</f>
        <v>0.0782863910297547</v>
      </c>
      <c r="L10" s="5" t="n">
        <f aca="false">L8*Параметры!$B$46</f>
        <v>0.0806349827606473</v>
      </c>
      <c r="M10" s="5" t="n">
        <f aca="false">M8*Параметры!$B$46</f>
        <v>0.0830540322434668</v>
      </c>
      <c r="N10" s="5" t="n">
        <f aca="false">N8*Параметры!$B$46</f>
        <v>0.0855456532107708</v>
      </c>
      <c r="O10" s="5" t="n">
        <f aca="false">O8*Параметры!$B$46</f>
        <v>0.0881120228070939</v>
      </c>
      <c r="P10" s="5" t="n">
        <f aca="false">P8*Параметры!$B$46</f>
        <v>0.0907553834913067</v>
      </c>
      <c r="Q10" s="5" t="n">
        <f aca="false">Q8*Параметры!$B$46</f>
        <v>0.0934780449960459</v>
      </c>
      <c r="R10" s="5" t="n">
        <f aca="false">R8*Параметры!$B$46</f>
        <v>0.0962823863459273</v>
      </c>
      <c r="S10" s="5" t="n">
        <f aca="false">S8*Параметры!$B$46</f>
        <v>0.0991708579363051</v>
      </c>
      <c r="T10" s="5" t="n">
        <f aca="false">T8*Параметры!$B$46</f>
        <v>0.102145983674394</v>
      </c>
      <c r="U10" s="5" t="n">
        <f aca="false">U8*Параметры!$B$46</f>
        <v>0.105210363184626</v>
      </c>
      <c r="V10" s="5" t="n">
        <f aca="false">V8*Параметры!$B$46</f>
        <v>0.108366674080165</v>
      </c>
      <c r="W10" s="5" t="n">
        <f aca="false">W8*Параметры!$B$46</f>
        <v>0.11161767430257</v>
      </c>
      <c r="X10" s="5" t="n">
        <f aca="false">X8*Параметры!$B$46</f>
        <v>0.114966204531647</v>
      </c>
      <c r="Y10" s="5" t="n">
        <f aca="false">Y8*Параметры!$B$46</f>
        <v>0.118415190667596</v>
      </c>
    </row>
    <row r="11" customFormat="false" ht="15" hidden="false" customHeight="false" outlineLevel="0" collapsed="false">
      <c r="A11" s="9" t="s">
        <v>121</v>
      </c>
    </row>
    <row r="12" customFormat="false" ht="15" hidden="false" customHeight="false" outlineLevel="0" collapsed="false">
      <c r="A12" s="4" t="s">
        <v>122</v>
      </c>
      <c r="B12" s="17" t="n">
        <f aca="false">0</f>
        <v>0</v>
      </c>
      <c r="C12" s="5" t="n">
        <f aca="false">B13*Параметры!$B$47</f>
        <v>0.01092</v>
      </c>
      <c r="D12" s="5" t="n">
        <f aca="false">C13*Параметры!$B$47</f>
        <v>0.0214032</v>
      </c>
      <c r="E12" s="5" t="n">
        <f aca="false">D13*Параметры!$B$47</f>
        <v>0.031490004</v>
      </c>
      <c r="F12" s="5" t="n">
        <f aca="false">E13*Параметры!$B$47</f>
        <v>0.04121828256</v>
      </c>
      <c r="G12" s="5" t="n">
        <f aca="false">F13*Параметры!$B$47</f>
        <v>0.050623558986</v>
      </c>
      <c r="H12" s="5" t="n">
        <f aca="false">G13*Параметры!$B$47</f>
        <v>0.059739182748336</v>
      </c>
      <c r="I12" s="5" t="n">
        <f aca="false">H13*Параметры!$B$47</f>
        <v>0.0685964910340492</v>
      </c>
      <c r="J12" s="5" t="n">
        <f aca="false">I13*Параметры!$B$47</f>
        <v>0.0772249592721053</v>
      </c>
      <c r="K12" s="5" t="n">
        <f aca="false">J13*Параметры!$B$47</f>
        <v>0.0856523414118107</v>
      </c>
      <c r="L12" s="5" t="n">
        <f aca="false">K13*Параметры!$B$47</f>
        <v>0.0939048006803993</v>
      </c>
      <c r="M12" s="5" t="n">
        <f aca="false">L13*Параметры!$B$47</f>
        <v>0.102007031495209</v>
      </c>
      <c r="N12" s="5" t="n">
        <f aca="false">M13*Параметры!$B$47</f>
        <v>0.109982373158855</v>
      </c>
      <c r="O12" s="5" t="n">
        <f aca="false">N13*Параметры!$B$47</f>
        <v>0.117852915922096</v>
      </c>
      <c r="P12" s="5" t="n">
        <f aca="false">O13*Параметры!$B$47</f>
        <v>0.12563959995844</v>
      </c>
      <c r="Q12" s="5" t="n">
        <f aca="false">P13*Параметры!$B$47</f>
        <v>0.133362307756767</v>
      </c>
      <c r="R12" s="5" t="n">
        <f aca="false">Q13*Параметры!$B$47</f>
        <v>0.141039950403074</v>
      </c>
      <c r="S12" s="5" t="n">
        <f aca="false">R13*Параметры!$B$47</f>
        <v>0.148690548189818</v>
      </c>
      <c r="T12" s="5" t="n">
        <f aca="false">S13*Параметры!$B$47</f>
        <v>0.156331305960938</v>
      </c>
      <c r="U12" s="5" t="n">
        <f aca="false">T13*Параметры!$B$47</f>
        <v>0.163978683572412</v>
      </c>
      <c r="V12" s="5" t="n">
        <f aca="false">U13*Параметры!$B$47</f>
        <v>0.171648461821945</v>
      </c>
      <c r="W12" s="5" t="n">
        <f aca="false">V13*Параметры!$B$47</f>
        <v>0.179355804176999</v>
      </c>
      <c r="X12" s="5" t="n">
        <f aca="false">W13*Параметры!$B$47</f>
        <v>0.187115314607677</v>
      </c>
      <c r="Y12" s="5" t="n">
        <f aca="false">X13*Параметры!$B$47</f>
        <v>0.194941091809899</v>
      </c>
    </row>
    <row r="13" customFormat="false" ht="15" hidden="false" customHeight="false" outlineLevel="0" collapsed="false">
      <c r="A13" s="9" t="s">
        <v>123</v>
      </c>
      <c r="B13" s="17" t="n">
        <f aca="false">B9</f>
        <v>0.156</v>
      </c>
      <c r="C13" s="17" t="n">
        <f aca="false">B13+C9-C12</f>
        <v>0.30576</v>
      </c>
      <c r="D13" s="17" t="n">
        <f aca="false">C13+D9-D12</f>
        <v>0.4498572</v>
      </c>
      <c r="E13" s="17" t="n">
        <f aca="false">D13+E9-E12</f>
        <v>0.588832608</v>
      </c>
      <c r="F13" s="17" t="n">
        <f aca="false">E13+F9-F12</f>
        <v>0.7231936998</v>
      </c>
      <c r="G13" s="17" t="n">
        <f aca="false">F13+G9-G12</f>
        <v>0.8534168964048</v>
      </c>
      <c r="H13" s="17" t="n">
        <f aca="false">G13+H9-H12</f>
        <v>0.979949871914988</v>
      </c>
      <c r="I13" s="17" t="n">
        <f aca="false">H13+I9-I12</f>
        <v>1.10321370388722</v>
      </c>
      <c r="J13" s="17" t="n">
        <f aca="false">I13+J9-J12</f>
        <v>1.22360487731158</v>
      </c>
      <c r="K13" s="17" t="n">
        <f aca="false">J13+K9-K12</f>
        <v>1.34149715257713</v>
      </c>
      <c r="L13" s="17" t="n">
        <f aca="false">K13+L9-L12</f>
        <v>1.45724330707442</v>
      </c>
      <c r="M13" s="17" t="n">
        <f aca="false">L13+M9-M12</f>
        <v>1.57117675941222</v>
      </c>
      <c r="N13" s="17" t="n">
        <f aca="false">M13+N9-N12</f>
        <v>1.68361308460137</v>
      </c>
      <c r="O13" s="17" t="n">
        <f aca="false">N13+O9-O12</f>
        <v>1.79485142797772</v>
      </c>
      <c r="P13" s="17" t="n">
        <f aca="false">O13+P9-P12</f>
        <v>1.90517582509667</v>
      </c>
      <c r="Q13" s="17" t="n">
        <f aca="false">P13+Q9-Q12</f>
        <v>2.01485643432963</v>
      </c>
      <c r="R13" s="17" t="n">
        <f aca="false">Q13+R9-R12</f>
        <v>2.12415068842596</v>
      </c>
      <c r="S13" s="17" t="n">
        <f aca="false">R13+S9-S12</f>
        <v>2.23330437087054</v>
      </c>
      <c r="T13" s="17" t="n">
        <f aca="false">S13+T9-T12</f>
        <v>2.34255262246303</v>
      </c>
      <c r="U13" s="17" t="n">
        <f aca="false">T13+U9-U12</f>
        <v>2.45212088317064</v>
      </c>
      <c r="V13" s="17" t="n">
        <f aca="false">U13+V9-V12</f>
        <v>2.56222577395713</v>
      </c>
      <c r="W13" s="17" t="n">
        <f aca="false">V13+W9-W12</f>
        <v>2.67307592296681</v>
      </c>
      <c r="X13" s="17" t="n">
        <f aca="false">W13+X9-X12</f>
        <v>2.78487274014142</v>
      </c>
      <c r="Y13" s="17" t="n">
        <f aca="false">X13+Y9-Y12</f>
        <v>2.89781114406727</v>
      </c>
    </row>
    <row r="14" customFormat="false" ht="15" hidden="false" customHeight="false" outlineLevel="0" collapsed="false">
      <c r="A14" s="4" t="s">
        <v>124</v>
      </c>
      <c r="B14" s="5" t="n">
        <f aca="false">B13*Параметры!$B$49</f>
        <v>0.1248</v>
      </c>
      <c r="C14" s="5" t="n">
        <f aca="false">C13*Параметры!$B$49</f>
        <v>0.244608</v>
      </c>
      <c r="D14" s="5" t="n">
        <f aca="false">D13*Параметры!$B$49</f>
        <v>0.35988576</v>
      </c>
      <c r="E14" s="5" t="n">
        <f aca="false">E13*Параметры!$B$49</f>
        <v>0.4710660864</v>
      </c>
      <c r="F14" s="5" t="n">
        <f aca="false">F13*Параметры!$B$49</f>
        <v>0.57855495984</v>
      </c>
      <c r="G14" s="5" t="n">
        <f aca="false">G13*Параметры!$B$49</f>
        <v>0.68273351712384</v>
      </c>
      <c r="H14" s="5" t="n">
        <f aca="false">H13*Параметры!$B$49</f>
        <v>0.78395989753199</v>
      </c>
      <c r="I14" s="5" t="n">
        <f aca="false">I13*Параметры!$B$49</f>
        <v>0.882570963109775</v>
      </c>
      <c r="J14" s="5" t="n">
        <f aca="false">J13*Параметры!$B$49</f>
        <v>0.978883901849265</v>
      </c>
      <c r="K14" s="5" t="n">
        <f aca="false">K13*Параметры!$B$49</f>
        <v>1.07319772206171</v>
      </c>
      <c r="L14" s="5" t="n">
        <f aca="false">L13*Параметры!$B$49</f>
        <v>1.16579464565953</v>
      </c>
      <c r="M14" s="5" t="n">
        <f aca="false">M13*Параметры!$B$49</f>
        <v>1.25694140752978</v>
      </c>
      <c r="N14" s="5" t="n">
        <f aca="false">N13*Параметры!$B$49</f>
        <v>1.3468904676811</v>
      </c>
      <c r="O14" s="5" t="n">
        <f aca="false">O13*Параметры!$B$49</f>
        <v>1.43588114238217</v>
      </c>
      <c r="P14" s="5" t="n">
        <f aca="false">P13*Параметры!$B$49</f>
        <v>1.52414066007734</v>
      </c>
      <c r="Q14" s="5" t="n">
        <f aca="false">Q13*Параметры!$B$49</f>
        <v>1.6118851474637</v>
      </c>
      <c r="R14" s="5" t="n">
        <f aca="false">R13*Параметры!$B$49</f>
        <v>1.69932055074077</v>
      </c>
      <c r="S14" s="5" t="n">
        <f aca="false">S13*Параметры!$B$49</f>
        <v>1.78664349669643</v>
      </c>
      <c r="T14" s="5" t="n">
        <f aca="false">T13*Параметры!$B$49</f>
        <v>1.87404209797042</v>
      </c>
      <c r="U14" s="5" t="n">
        <f aca="false">U13*Параметры!$B$49</f>
        <v>1.96169670653651</v>
      </c>
      <c r="V14" s="5" t="n">
        <f aca="false">V13*Параметры!$B$49</f>
        <v>2.0497806191657</v>
      </c>
      <c r="W14" s="5" t="n">
        <f aca="false">W13*Параметры!$B$49</f>
        <v>2.13846073837345</v>
      </c>
      <c r="X14" s="5" t="n">
        <f aca="false">X13*Параметры!$B$49</f>
        <v>2.22789819211313</v>
      </c>
      <c r="Y14" s="5" t="n">
        <f aca="false">Y13*Параметры!$B$49</f>
        <v>2.31824891525381</v>
      </c>
    </row>
    <row r="15" customFormat="false" ht="15" hidden="false" customHeight="false" outlineLevel="0" collapsed="false">
      <c r="A15" s="4" t="s">
        <v>125</v>
      </c>
      <c r="B15" s="5" t="n">
        <f aca="false">B13*Параметры!$B$50</f>
        <v>0.02652</v>
      </c>
      <c r="C15" s="5" t="n">
        <f aca="false">C13*Параметры!$B$50</f>
        <v>0.0519792</v>
      </c>
      <c r="D15" s="5" t="n">
        <f aca="false">D13*Параметры!$B$50</f>
        <v>0.076475724</v>
      </c>
      <c r="E15" s="5" t="n">
        <f aca="false">E13*Параметры!$B$50</f>
        <v>0.10010154336</v>
      </c>
      <c r="F15" s="5" t="n">
        <f aca="false">F13*Параметры!$B$50</f>
        <v>0.122942928966</v>
      </c>
      <c r="G15" s="5" t="n">
        <f aca="false">G13*Параметры!$B$50</f>
        <v>0.145080872388816</v>
      </c>
      <c r="H15" s="5" t="n">
        <f aca="false">H13*Параметры!$B$50</f>
        <v>0.166591478225548</v>
      </c>
      <c r="I15" s="5" t="n">
        <f aca="false">I13*Параметры!$B$50</f>
        <v>0.187546329660827</v>
      </c>
      <c r="J15" s="5" t="n">
        <f aca="false">J13*Параметры!$B$50</f>
        <v>0.208012829142969</v>
      </c>
      <c r="K15" s="5" t="n">
        <f aca="false">K13*Параметры!$B$50</f>
        <v>0.228054515938113</v>
      </c>
      <c r="L15" s="5" t="n">
        <f aca="false">L13*Параметры!$B$50</f>
        <v>0.247731362202651</v>
      </c>
      <c r="M15" s="5" t="n">
        <f aca="false">M13*Параметры!$B$50</f>
        <v>0.267100049100078</v>
      </c>
      <c r="N15" s="5" t="n">
        <f aca="false">N13*Параметры!$B$50</f>
        <v>0.286214224382233</v>
      </c>
      <c r="O15" s="5" t="n">
        <f aca="false">O13*Параметры!$B$50</f>
        <v>0.305124742756212</v>
      </c>
      <c r="P15" s="5" t="n">
        <f aca="false">P13*Параметры!$B$50</f>
        <v>0.323879890266435</v>
      </c>
      <c r="Q15" s="5" t="n">
        <f aca="false">Q13*Параметры!$B$50</f>
        <v>0.342525593836037</v>
      </c>
      <c r="R15" s="5" t="n">
        <f aca="false">R13*Параметры!$B$50</f>
        <v>0.361105617032414</v>
      </c>
      <c r="S15" s="5" t="n">
        <f aca="false">S13*Параметры!$B$50</f>
        <v>0.379661743047992</v>
      </c>
      <c r="T15" s="5" t="n">
        <f aca="false">T13*Параметры!$B$50</f>
        <v>0.398233945818715</v>
      </c>
      <c r="U15" s="5" t="n">
        <f aca="false">U13*Параметры!$B$50</f>
        <v>0.416860550139009</v>
      </c>
      <c r="V15" s="5" t="n">
        <f aca="false">V13*Параметры!$B$50</f>
        <v>0.435578381572712</v>
      </c>
      <c r="W15" s="5" t="n">
        <f aca="false">W13*Параметры!$B$50</f>
        <v>0.454422906904358</v>
      </c>
      <c r="X15" s="5" t="n">
        <f aca="false">X13*Параметры!$B$50</f>
        <v>0.473428365824041</v>
      </c>
      <c r="Y15" s="5" t="n">
        <f aca="false">Y13*Параметры!$B$50</f>
        <v>0.492627894491435</v>
      </c>
    </row>
    <row r="16" customFormat="false" ht="15" hidden="false" customHeight="false" outlineLevel="0" collapsed="false">
      <c r="A16" s="4" t="s">
        <v>126</v>
      </c>
      <c r="B16" s="5" t="n">
        <f aca="false">B13*Параметры!$B$51</f>
        <v>0.00468</v>
      </c>
      <c r="C16" s="5" t="n">
        <f aca="false">C13*Параметры!$B$51</f>
        <v>0.0091728</v>
      </c>
      <c r="D16" s="5" t="n">
        <f aca="false">D13*Параметры!$B$51</f>
        <v>0.013495716</v>
      </c>
      <c r="E16" s="5" t="n">
        <f aca="false">E13*Параметры!$B$51</f>
        <v>0.01766497824</v>
      </c>
      <c r="F16" s="5" t="n">
        <f aca="false">F13*Параметры!$B$51</f>
        <v>0.021695810994</v>
      </c>
      <c r="G16" s="5" t="n">
        <f aca="false">G13*Параметры!$B$51</f>
        <v>0.025602506892144</v>
      </c>
      <c r="H16" s="5" t="n">
        <f aca="false">H13*Параметры!$B$51</f>
        <v>0.0293984961574496</v>
      </c>
      <c r="I16" s="5" t="n">
        <f aca="false">I13*Параметры!$B$51</f>
        <v>0.0330964111166166</v>
      </c>
      <c r="J16" s="5" t="n">
        <f aca="false">J13*Параметры!$B$51</f>
        <v>0.0367081463193474</v>
      </c>
      <c r="K16" s="5" t="n">
        <f aca="false">K13*Параметры!$B$51</f>
        <v>0.040244914577314</v>
      </c>
      <c r="L16" s="5" t="n">
        <f aca="false">L13*Параметры!$B$51</f>
        <v>0.0437172992122325</v>
      </c>
      <c r="M16" s="5" t="n">
        <f aca="false">M13*Параметры!$B$51</f>
        <v>0.0471353027823666</v>
      </c>
      <c r="N16" s="5" t="n">
        <f aca="false">N13*Параметры!$B$51</f>
        <v>0.0505083925380411</v>
      </c>
      <c r="O16" s="5" t="n">
        <f aca="false">O13*Параметры!$B$51</f>
        <v>0.0538455428393315</v>
      </c>
      <c r="P16" s="5" t="n">
        <f aca="false">P13*Параметры!$B$51</f>
        <v>0.0571552747529002</v>
      </c>
      <c r="Q16" s="5" t="n">
        <f aca="false">Q13*Параметры!$B$51</f>
        <v>0.0604456930298888</v>
      </c>
      <c r="R16" s="5" t="n">
        <f aca="false">R13*Параметры!$B$51</f>
        <v>0.0637245206527789</v>
      </c>
      <c r="S16" s="5" t="n">
        <f aca="false">S13*Параметры!$B$51</f>
        <v>0.0669991311261162</v>
      </c>
      <c r="T16" s="5" t="n">
        <f aca="false">T13*Параметры!$B$51</f>
        <v>0.0702765786738908</v>
      </c>
      <c r="U16" s="5" t="n">
        <f aca="false">U13*Параметры!$B$51</f>
        <v>0.0735636264951193</v>
      </c>
      <c r="V16" s="5" t="n">
        <f aca="false">V13*Параметры!$B$51</f>
        <v>0.0768667732187138</v>
      </c>
      <c r="W16" s="5" t="n">
        <f aca="false">W13*Параметры!$B$51</f>
        <v>0.0801922776890043</v>
      </c>
      <c r="X16" s="5" t="n">
        <f aca="false">X13*Параметры!$B$51</f>
        <v>0.0835461822042424</v>
      </c>
      <c r="Y16" s="5" t="n">
        <f aca="false">Y13*Параметры!$B$51</f>
        <v>0.086934334322018</v>
      </c>
    </row>
    <row r="17" customFormat="false" ht="15" hidden="false" customHeight="false" outlineLevel="0" collapsed="false">
      <c r="A17" s="9" t="s">
        <v>127</v>
      </c>
    </row>
    <row r="18" customFormat="false" ht="15" hidden="false" customHeight="false" outlineLevel="0" collapsed="false">
      <c r="A18" s="4" t="s">
        <v>128</v>
      </c>
      <c r="B18" s="6" t="n">
        <f aca="false">B14*Параметры!$B$6+B15*Параметры!$B$7+B16*Параметры!$B$8</f>
        <v>441.0588</v>
      </c>
      <c r="C18" s="6" t="n">
        <f aca="false">C14*Параметры!$B$6+C15*Параметры!$B$7+C16*Параметры!$B$8</f>
        <v>864.475248</v>
      </c>
      <c r="D18" s="6" t="n">
        <f aca="false">D14*Параметры!$B$6+D15*Параметры!$B$7+D16*Параметры!$B$8</f>
        <v>1271.88126156</v>
      </c>
      <c r="E18" s="6" t="n">
        <f aca="false">E14*Параметры!$B$6+E15*Параметры!$B$7+E16*Параметры!$B$8</f>
        <v>1664.8064325984</v>
      </c>
      <c r="F18" s="6" t="n">
        <f aca="false">F14*Параметры!$B$6+F15*Параметры!$B$7+F16*Параметры!$B$8</f>
        <v>2044.68554744454</v>
      </c>
      <c r="G18" s="6" t="n">
        <f aca="false">G14*Параметры!$B$6+G15*Параметры!$B$7+G16*Параметры!$B$8</f>
        <v>2412.86559120529</v>
      </c>
      <c r="H18" s="6" t="n">
        <f aca="false">H14*Параметры!$B$6+H15*Параметры!$B$7+H16*Параметры!$B$8</f>
        <v>2770.61227286525</v>
      </c>
      <c r="I18" s="6" t="n">
        <f aca="false">I14*Параметры!$B$6+I15*Параметры!$B$7+I16*Параметры!$B$8</f>
        <v>3119.11610500033</v>
      </c>
      <c r="J18" s="6" t="n">
        <f aca="false">J14*Параметры!$B$6+J15*Параметры!$B$7+J16*Параметры!$B$8</f>
        <v>3459.49806962303</v>
      </c>
      <c r="K18" s="6" t="n">
        <f aca="false">K14*Параметры!$B$6+K15*Параметры!$B$7+K16*Параметры!$B$8</f>
        <v>3792.81489948133</v>
      </c>
      <c r="L18" s="6" t="n">
        <f aca="false">L14*Параметры!$B$6+L15*Параметры!$B$7+L16*Параметры!$B$8</f>
        <v>4120.0640020915</v>
      </c>
      <c r="M18" s="6" t="n">
        <f aca="false">M14*Параметры!$B$6+M15*Параметры!$B$7+M16*Параметры!$B$8</f>
        <v>4442.18805188617</v>
      </c>
      <c r="N18" s="6" t="n">
        <f aca="false">N14*Параметры!$B$6+N15*Параметры!$B$7+N16*Параметры!$B$8</f>
        <v>4760.07927409345</v>
      </c>
      <c r="O18" s="6" t="n">
        <f aca="false">O14*Параметры!$B$6+O15*Параметры!$B$7+O16*Параметры!$B$8</f>
        <v>5074.5834423214</v>
      </c>
      <c r="P18" s="6" t="n">
        <f aca="false">P14*Параметры!$B$6+P15*Параметры!$B$7+P16*Параметры!$B$8</f>
        <v>5386.50361029583</v>
      </c>
      <c r="Q18" s="6" t="n">
        <f aca="false">Q14*Параметры!$B$6+Q15*Параметры!$B$7+Q16*Параметры!$B$8</f>
        <v>5696.60359678015</v>
      </c>
      <c r="R18" s="6" t="n">
        <f aca="false">R14*Параметры!$B$6+R15*Параметры!$B$7+R16*Параметры!$B$8</f>
        <v>6005.61124138673</v>
      </c>
      <c r="S18" s="6" t="n">
        <f aca="false">S14*Параметры!$B$6+S15*Параметры!$B$7+S16*Параметры!$B$8</f>
        <v>6314.22144776228</v>
      </c>
      <c r="T18" s="6" t="n">
        <f aca="false">T14*Параметры!$B$6+T15*Параметры!$B$7+T16*Параметры!$B$8</f>
        <v>6623.09902948972</v>
      </c>
      <c r="U18" s="6" t="n">
        <f aca="false">U14*Параметры!$B$6+U15*Параметры!$B$7+U16*Параметры!$B$8</f>
        <v>6932.88137298836</v>
      </c>
      <c r="V18" s="6" t="n">
        <f aca="false">V14*Параметры!$B$6+V15*Параметры!$B$7+V16*Параметры!$B$8</f>
        <v>7244.18093070899</v>
      </c>
      <c r="W18" s="6" t="n">
        <f aca="false">W14*Параметры!$B$6+W15*Параметры!$B$7+W16*Параметры!$B$8</f>
        <v>7557.58755700406</v>
      </c>
      <c r="X18" s="6" t="n">
        <f aca="false">X14*Параметры!$B$6+X15*Параметры!$B$7+X16*Параметры!$B$8</f>
        <v>7873.67069820182</v>
      </c>
      <c r="Y18" s="6" t="n">
        <f aca="false">Y14*Параметры!$B$6+Y15*Параметры!$B$7+Y16*Параметры!$B$8</f>
        <v>8192.98144762138</v>
      </c>
    </row>
    <row r="19" customFormat="false" ht="15" hidden="false" customHeight="false" outlineLevel="0" collapsed="false">
      <c r="A19" s="4" t="s">
        <v>120</v>
      </c>
      <c r="B19" s="6" t="n">
        <f aca="false">B10*Параметры!$B$9</f>
        <v>119.4</v>
      </c>
      <c r="C19" s="6" t="n">
        <f aca="false">C10*Параметры!$B$9</f>
        <v>122.982</v>
      </c>
      <c r="D19" s="6" t="n">
        <f aca="false">D10*Параметры!$B$9</f>
        <v>126.67146</v>
      </c>
      <c r="E19" s="6" t="n">
        <f aca="false">E10*Параметры!$B$9</f>
        <v>130.4716038</v>
      </c>
      <c r="F19" s="6" t="n">
        <f aca="false">F10*Параметры!$B$9</f>
        <v>134.385751914</v>
      </c>
      <c r="G19" s="6" t="n">
        <f aca="false">G10*Параметры!$B$9</f>
        <v>138.41732447142</v>
      </c>
      <c r="H19" s="6" t="n">
        <f aca="false">H10*Параметры!$B$9</f>
        <v>142.569844205563</v>
      </c>
      <c r="I19" s="6" t="n">
        <f aca="false">I10*Параметры!$B$9</f>
        <v>146.846939531729</v>
      </c>
      <c r="J19" s="6" t="n">
        <f aca="false">J10*Параметры!$B$9</f>
        <v>151.252347717681</v>
      </c>
      <c r="K19" s="6" t="n">
        <f aca="false">K10*Параметры!$B$9</f>
        <v>155.789918149212</v>
      </c>
      <c r="L19" s="6" t="n">
        <f aca="false">L10*Параметры!$B$9</f>
        <v>160.463615693688</v>
      </c>
      <c r="M19" s="6" t="n">
        <f aca="false">M10*Параметры!$B$9</f>
        <v>165.277524164499</v>
      </c>
      <c r="N19" s="6" t="n">
        <f aca="false">N10*Параметры!$B$9</f>
        <v>170.235849889434</v>
      </c>
      <c r="O19" s="6" t="n">
        <f aca="false">O10*Параметры!$B$9</f>
        <v>175.342925386117</v>
      </c>
      <c r="P19" s="6" t="n">
        <f aca="false">P10*Параметры!$B$9</f>
        <v>180.6032131477</v>
      </c>
      <c r="Q19" s="6" t="n">
        <f aca="false">Q10*Параметры!$B$9</f>
        <v>186.021309542131</v>
      </c>
      <c r="R19" s="6" t="n">
        <f aca="false">R10*Параметры!$B$9</f>
        <v>191.601948828395</v>
      </c>
      <c r="S19" s="6" t="n">
        <f aca="false">S10*Параметры!$B$9</f>
        <v>197.350007293247</v>
      </c>
      <c r="T19" s="6" t="n">
        <f aca="false">T10*Параметры!$B$9</f>
        <v>203.270507512045</v>
      </c>
      <c r="U19" s="6" t="n">
        <f aca="false">U10*Параметры!$B$9</f>
        <v>209.368622737406</v>
      </c>
      <c r="V19" s="6" t="n">
        <f aca="false">V10*Параметры!$B$9</f>
        <v>215.649681419528</v>
      </c>
      <c r="W19" s="6" t="n">
        <f aca="false">W10*Параметры!$B$9</f>
        <v>222.119171862114</v>
      </c>
      <c r="X19" s="6" t="n">
        <f aca="false">X10*Параметры!$B$9</f>
        <v>228.782747017977</v>
      </c>
      <c r="Y19" s="6" t="n">
        <f aca="false">Y10*Параметры!$B$9</f>
        <v>235.646229428517</v>
      </c>
    </row>
    <row r="20" customFormat="false" ht="15" hidden="false" customHeight="false" outlineLevel="0" collapsed="false">
      <c r="A20" s="9" t="s">
        <v>129</v>
      </c>
      <c r="B20" s="8" t="n">
        <f aca="false">B18+B19</f>
        <v>560.4588</v>
      </c>
      <c r="C20" s="8" t="n">
        <f aca="false">C18+C19</f>
        <v>987.457248</v>
      </c>
      <c r="D20" s="8" t="n">
        <f aca="false">D18+D19</f>
        <v>1398.55272156</v>
      </c>
      <c r="E20" s="8" t="n">
        <f aca="false">E18+E19</f>
        <v>1795.2780363984</v>
      </c>
      <c r="F20" s="8" t="n">
        <f aca="false">F18+F19</f>
        <v>2179.07129935854</v>
      </c>
      <c r="G20" s="8" t="n">
        <f aca="false">G18+G19</f>
        <v>2551.28291567671</v>
      </c>
      <c r="H20" s="8" t="n">
        <f aca="false">H18+H19</f>
        <v>2913.18211707081</v>
      </c>
      <c r="I20" s="8" t="n">
        <f aca="false">I18+I19</f>
        <v>3265.96304453206</v>
      </c>
      <c r="J20" s="8" t="n">
        <f aca="false">J18+J19</f>
        <v>3610.75041734072</v>
      </c>
      <c r="K20" s="8" t="n">
        <f aca="false">K18+K19</f>
        <v>3948.60481763054</v>
      </c>
      <c r="L20" s="8" t="n">
        <f aca="false">L18+L19</f>
        <v>4280.52761778519</v>
      </c>
      <c r="M20" s="8" t="n">
        <f aca="false">M18+M19</f>
        <v>4607.46557605067</v>
      </c>
      <c r="N20" s="8" t="n">
        <f aca="false">N18+N19</f>
        <v>4930.31512398289</v>
      </c>
      <c r="O20" s="8" t="n">
        <f aca="false">O18+O19</f>
        <v>5249.92636770752</v>
      </c>
      <c r="P20" s="8" t="n">
        <f aca="false">P18+P19</f>
        <v>5567.10682344353</v>
      </c>
      <c r="Q20" s="8" t="n">
        <f aca="false">Q18+Q19</f>
        <v>5882.62490632229</v>
      </c>
      <c r="R20" s="8" t="n">
        <f aca="false">R18+R19</f>
        <v>6197.21319021512</v>
      </c>
      <c r="S20" s="8" t="n">
        <f aca="false">S18+S19</f>
        <v>6511.57145505553</v>
      </c>
      <c r="T20" s="8" t="n">
        <f aca="false">T18+T19</f>
        <v>6826.36953700176</v>
      </c>
      <c r="U20" s="8" t="n">
        <f aca="false">U18+U19</f>
        <v>7142.24999572576</v>
      </c>
      <c r="V20" s="8" t="n">
        <f aca="false">V18+V19</f>
        <v>7459.83061212851</v>
      </c>
      <c r="W20" s="8" t="n">
        <f aca="false">W18+W19</f>
        <v>7779.70672886618</v>
      </c>
      <c r="X20" s="8" t="n">
        <f aca="false">X18+X19</f>
        <v>8102.4534452198</v>
      </c>
      <c r="Y20" s="8" t="n">
        <f aca="false">Y18+Y19</f>
        <v>8428.6276770499</v>
      </c>
    </row>
    <row r="21" customFormat="false" ht="15" hidden="false" customHeight="false" outlineLevel="0" collapsed="false">
      <c r="A21" s="9" t="s">
        <v>130</v>
      </c>
    </row>
    <row r="22" customFormat="false" ht="15" hidden="false" customHeight="false" outlineLevel="0" collapsed="false">
      <c r="A22" s="4" t="s">
        <v>131</v>
      </c>
      <c r="B22" s="6" t="n">
        <f aca="false">(B14*Параметры!$B$11+B15*Параметры!$B$12+B16*Параметры!$B$13)*Параметры!$B$16</f>
        <v>72.395232</v>
      </c>
      <c r="C22" s="6" t="n">
        <f aca="false">(C14*Параметры!$B$11+C15*Параметры!$B$12+C16*Параметры!$B$13)*Параметры!$B$16</f>
        <v>141.89465472</v>
      </c>
      <c r="D22" s="6" t="n">
        <f aca="false">(D14*Параметры!$B$11+D15*Параметры!$B$12+D16*Параметры!$B$13)*Параметры!$B$16</f>
        <v>208.7661305184</v>
      </c>
      <c r="E22" s="6" t="n">
        <f aca="false">(E14*Параметры!$B$11+E15*Параметры!$B$12+E16*Параметры!$B$13)*Параметры!$B$16</f>
        <v>273.260726059776</v>
      </c>
      <c r="F22" s="6" t="n">
        <f aca="false">(F14*Параметры!$B$11+F15*Параметры!$B$12+F16*Параметры!$B$13)*Параметры!$B$16</f>
        <v>335.613946653586</v>
      </c>
      <c r="G22" s="6" t="n">
        <f aca="false">(G14*Параметры!$B$11+G15*Параметры!$B$12+G16*Параметры!$B$13)*Параметры!$B$16</f>
        <v>396.046885948368</v>
      </c>
      <c r="H22" s="6" t="n">
        <f aca="false">(H14*Параметры!$B$11+H15*Параметры!$B$12+H16*Параметры!$B$13)*Параметры!$B$16</f>
        <v>454.767296959332</v>
      </c>
      <c r="I22" s="6" t="n">
        <f aca="false">(I14*Параметры!$B$11+I15*Параметры!$B$12+I16*Параметры!$B$13)*Параметры!$B$16</f>
        <v>511.970589990349</v>
      </c>
      <c r="J22" s="6" t="n">
        <f aca="false">(J14*Параметры!$B$11+J15*Параметры!$B$12+J16*Параметры!$B$13)*Параметры!$B$16</f>
        <v>567.84076262374</v>
      </c>
      <c r="K22" s="6" t="n">
        <f aca="false">(K14*Параметры!$B$11+K15*Параметры!$B$12+K16*Параметры!$B$13)*Параметры!$B$16</f>
        <v>622.551266590775</v>
      </c>
      <c r="L22" s="6" t="n">
        <f aca="false">(L14*Параметры!$B$11+L15*Параметры!$B$12+L16*Параметры!$B$13)*Параметры!$B$16</f>
        <v>676.265816000639</v>
      </c>
      <c r="M22" s="6" t="n">
        <f aca="false">(M14*Параметры!$B$11+M15*Параметры!$B$12+M16*Параметры!$B$13)*Параметры!$B$16</f>
        <v>729.139141093948</v>
      </c>
      <c r="N22" s="6" t="n">
        <f aca="false">(N14*Параметры!$B$11+N15*Параметры!$B$12+N16*Параметры!$B$13)*Параметры!$B$16</f>
        <v>781.317691397127</v>
      </c>
      <c r="O22" s="6" t="n">
        <f aca="false">(O14*Параметры!$B$11+O15*Параметры!$B$12+O16*Параметры!$B$13)*Параметры!$B$16</f>
        <v>832.940291884476</v>
      </c>
      <c r="P22" s="6" t="n">
        <f aca="false">(P14*Параметры!$B$11+P15*Параметры!$B$12+P16*Параметры!$B$13)*Параметры!$B$16</f>
        <v>884.138755504264</v>
      </c>
      <c r="Q22" s="6" t="n">
        <f aca="false">(Q14*Параметры!$B$11+Q15*Параметры!$B$12+Q16*Параметры!$B$13)*Параметры!$B$16</f>
        <v>935.038455192219</v>
      </c>
      <c r="R22" s="6" t="n">
        <f aca="false">(R14*Параметры!$B$11+R15*Параметры!$B$12+R16*Параметры!$B$13)*Параметры!$B$16</f>
        <v>985.758858279214</v>
      </c>
      <c r="S22" s="6" t="n">
        <f aca="false">(S14*Параметры!$B$11+S15*Параметры!$B$12+S16*Параметры!$B$13)*Параметры!$B$16</f>
        <v>1036.41402599863</v>
      </c>
      <c r="T22" s="6" t="n">
        <f aca="false">(T14*Параметры!$B$11+T15*Параметры!$B$12+T16*Параметры!$B$13)*Параметры!$B$16</f>
        <v>1087.11308061166</v>
      </c>
      <c r="U22" s="6" t="n">
        <f aca="false">(U14*Параметры!$B$11+U15*Параметры!$B$12+U16*Параметры!$B$13)*Параметры!$B$16</f>
        <v>1137.96064249477</v>
      </c>
      <c r="V22" s="6" t="n">
        <f aca="false">(V14*Параметры!$B$11+V15*Параметры!$B$12+V16*Параметры!$B$13)*Параметры!$B$16</f>
        <v>1189.05723937183</v>
      </c>
      <c r="W22" s="6" t="n">
        <f aca="false">(W14*Параметры!$B$11+W15*Параметры!$B$12+W16*Параметры!$B$13)*Параметры!$B$16</f>
        <v>1240.49968972305</v>
      </c>
      <c r="X22" s="6" t="n">
        <f aca="false">(X14*Параметры!$B$11+X15*Параметры!$B$12+X16*Параметры!$B$13)*Параметры!$B$16</f>
        <v>1292.38146226291</v>
      </c>
      <c r="Y22" s="6" t="n">
        <f aca="false">(Y14*Параметры!$B$11+Y15*Параметры!$B$12+Y16*Параметры!$B$13)*Параметры!$B$16</f>
        <v>1344.79301324958</v>
      </c>
    </row>
    <row r="23" customFormat="false" ht="15" hidden="false" customHeight="false" outlineLevel="0" collapsed="false">
      <c r="A23" s="4" t="s">
        <v>132</v>
      </c>
      <c r="B23" s="6" t="n">
        <f aca="false">B10*Параметры!$B$14</f>
        <v>1.6662</v>
      </c>
      <c r="C23" s="6" t="n">
        <f aca="false">C10*Параметры!$B$14</f>
        <v>1.716186</v>
      </c>
      <c r="D23" s="6" t="n">
        <f aca="false">D10*Параметры!$B$14</f>
        <v>1.76767158</v>
      </c>
      <c r="E23" s="6" t="n">
        <f aca="false">E10*Параметры!$B$14</f>
        <v>1.8207017274</v>
      </c>
      <c r="F23" s="6" t="n">
        <f aca="false">F10*Параметры!$B$14</f>
        <v>1.875322779222</v>
      </c>
      <c r="G23" s="6" t="n">
        <f aca="false">G10*Параметры!$B$14</f>
        <v>1.93158246259866</v>
      </c>
      <c r="H23" s="6" t="n">
        <f aca="false">H10*Параметры!$B$14</f>
        <v>1.98952993647662</v>
      </c>
      <c r="I23" s="6" t="n">
        <f aca="false">I10*Параметры!$B$14</f>
        <v>2.04921583457092</v>
      </c>
      <c r="J23" s="6" t="n">
        <f aca="false">J10*Параметры!$B$14</f>
        <v>2.11069230960805</v>
      </c>
      <c r="K23" s="6" t="n">
        <f aca="false">K10*Параметры!$B$14</f>
        <v>2.17401307889629</v>
      </c>
      <c r="L23" s="6" t="n">
        <f aca="false">L10*Параметры!$B$14</f>
        <v>2.23923347126318</v>
      </c>
      <c r="M23" s="6" t="n">
        <f aca="false">M10*Параметры!$B$14</f>
        <v>2.30641047540107</v>
      </c>
      <c r="N23" s="6" t="n">
        <f aca="false">N10*Параметры!$B$14</f>
        <v>2.3756027896631</v>
      </c>
      <c r="O23" s="6" t="n">
        <f aca="false">O10*Параметры!$B$14</f>
        <v>2.446870873353</v>
      </c>
      <c r="P23" s="6" t="n">
        <f aca="false">P10*Параметры!$B$14</f>
        <v>2.52027699955359</v>
      </c>
      <c r="Q23" s="6" t="n">
        <f aca="false">Q10*Параметры!$B$14</f>
        <v>2.59588530954019</v>
      </c>
      <c r="R23" s="6" t="n">
        <f aca="false">R10*Параметры!$B$14</f>
        <v>2.6737618688264</v>
      </c>
      <c r="S23" s="6" t="n">
        <f aca="false">S10*Параметры!$B$14</f>
        <v>2.75397472489119</v>
      </c>
      <c r="T23" s="6" t="n">
        <f aca="false">T10*Параметры!$B$14</f>
        <v>2.83659396663793</v>
      </c>
      <c r="U23" s="6" t="n">
        <f aca="false">U10*Параметры!$B$14</f>
        <v>2.92169178563707</v>
      </c>
      <c r="V23" s="6" t="n">
        <f aca="false">V10*Параметры!$B$14</f>
        <v>3.00934253920618</v>
      </c>
      <c r="W23" s="6" t="n">
        <f aca="false">W10*Параметры!$B$14</f>
        <v>3.09962281538236</v>
      </c>
      <c r="X23" s="6" t="n">
        <f aca="false">X10*Параметры!$B$14</f>
        <v>3.19261149984383</v>
      </c>
      <c r="Y23" s="6" t="n">
        <f aca="false">Y10*Параметры!$B$14</f>
        <v>3.28838984483915</v>
      </c>
    </row>
    <row r="24" customFormat="false" ht="15" hidden="false" customHeight="false" outlineLevel="0" collapsed="false">
      <c r="A24" s="4" t="s">
        <v>133</v>
      </c>
      <c r="B24" s="6" t="n">
        <f aca="false">B8*Параметры!$B$15</f>
        <v>2.4</v>
      </c>
      <c r="C24" s="6" t="n">
        <f aca="false">C8*Параметры!$B$15</f>
        <v>2.472</v>
      </c>
      <c r="D24" s="6" t="n">
        <f aca="false">D8*Параметры!$B$15</f>
        <v>2.54616</v>
      </c>
      <c r="E24" s="6" t="n">
        <f aca="false">E8*Параметры!$B$15</f>
        <v>2.6225448</v>
      </c>
      <c r="F24" s="6" t="n">
        <f aca="false">F8*Параметры!$B$15</f>
        <v>2.701221144</v>
      </c>
      <c r="G24" s="6" t="n">
        <f aca="false">G8*Параметры!$B$15</f>
        <v>2.78225777832</v>
      </c>
      <c r="H24" s="6" t="n">
        <f aca="false">H8*Параметры!$B$15</f>
        <v>2.8657255116696</v>
      </c>
      <c r="I24" s="6" t="n">
        <f aca="false">I8*Параметры!$B$15</f>
        <v>2.95169727701969</v>
      </c>
      <c r="J24" s="6" t="n">
        <f aca="false">J8*Параметры!$B$15</f>
        <v>3.04024819533028</v>
      </c>
      <c r="K24" s="6" t="n">
        <f aca="false">K8*Параметры!$B$15</f>
        <v>3.13145564119019</v>
      </c>
      <c r="L24" s="6" t="n">
        <f aca="false">L8*Параметры!$B$15</f>
        <v>3.22539931042589</v>
      </c>
      <c r="M24" s="6" t="n">
        <f aca="false">M8*Параметры!$B$15</f>
        <v>3.32216128973867</v>
      </c>
      <c r="N24" s="6" t="n">
        <f aca="false">N8*Параметры!$B$15</f>
        <v>3.42182612843083</v>
      </c>
      <c r="O24" s="6" t="n">
        <f aca="false">O8*Параметры!$B$15</f>
        <v>3.52448091228376</v>
      </c>
      <c r="P24" s="6" t="n">
        <f aca="false">P8*Параметры!$B$15</f>
        <v>3.63021533965227</v>
      </c>
      <c r="Q24" s="6" t="n">
        <f aca="false">Q8*Параметры!$B$15</f>
        <v>3.73912179984184</v>
      </c>
      <c r="R24" s="6" t="n">
        <f aca="false">R8*Параметры!$B$15</f>
        <v>3.85129545383709</v>
      </c>
      <c r="S24" s="6" t="n">
        <f aca="false">S8*Параметры!$B$15</f>
        <v>3.9668343174522</v>
      </c>
      <c r="T24" s="6" t="n">
        <f aca="false">T8*Параметры!$B$15</f>
        <v>4.08583934697577</v>
      </c>
      <c r="U24" s="6" t="n">
        <f aca="false">U8*Параметры!$B$15</f>
        <v>4.20841452738504</v>
      </c>
      <c r="V24" s="6" t="n">
        <f aca="false">V8*Параметры!$B$15</f>
        <v>4.33466696320659</v>
      </c>
      <c r="W24" s="6" t="n">
        <f aca="false">W8*Параметры!$B$15</f>
        <v>4.46470697210279</v>
      </c>
      <c r="X24" s="6" t="n">
        <f aca="false">X8*Параметры!$B$15</f>
        <v>4.59864818126588</v>
      </c>
      <c r="Y24" s="6" t="n">
        <f aca="false">Y8*Параметры!$B$15</f>
        <v>4.73660762670385</v>
      </c>
    </row>
    <row r="25" customFormat="false" ht="15" hidden="false" customHeight="false" outlineLevel="0" collapsed="false">
      <c r="A25" s="4" t="s">
        <v>134</v>
      </c>
      <c r="B25" s="6" t="n">
        <f aca="false">(B14*Параметры!$B$20+B15*Параметры!$B$21+B16*Параметры!$B$22)*Параметры!$B$16*Параметры!$B$18+B10*Параметры!$B$18+B8*Параметры!$B$19</f>
        <v>37.260288</v>
      </c>
      <c r="C25" s="6" t="n">
        <f aca="false">(C14*Параметры!$B$20+C15*Параметры!$B$21+C16*Параметры!$B$22)*Параметры!$B$16*Параметры!$B$18+C10*Параметры!$B$18+C8*Параметры!$B$19</f>
        <v>45.17480448</v>
      </c>
      <c r="D25" s="6" t="n">
        <f aca="false">(D14*Параметры!$B$20+D15*Параметры!$B$21+D16*Параметры!$B$22)*Параметры!$B$16*Параметры!$B$18+D10*Параметры!$B$18+D8*Параметры!$B$19</f>
        <v>52.8509869056</v>
      </c>
      <c r="E25" s="6" t="n">
        <f aca="false">(E14*Параметры!$B$20+E15*Параметры!$B$21+E16*Параметры!$B$22)*Параметры!$B$16*Параметры!$B$18+E10*Параметры!$B$18+E8*Параметры!$B$19</f>
        <v>60.314989123584</v>
      </c>
      <c r="F25" s="6" t="n">
        <f aca="false">(F14*Параметры!$B$20+F15*Параметры!$B$21+F16*Параметры!$B$22)*Параметры!$B$16*Параметры!$B$18+F10*Параметры!$B$18+F8*Параметры!$B$19</f>
        <v>67.5914183253504</v>
      </c>
      <c r="G25" s="6" t="n">
        <f aca="false">(G14*Параметры!$B$20+G15*Параметры!$B$21+G16*Параметры!$B$22)*Параметры!$B$16*Параметры!$B$18+G10*Параметры!$B$18+G8*Параметры!$B$19</f>
        <v>74.7034518362057</v>
      </c>
      <c r="H25" s="6" t="n">
        <f aca="false">(H14*Параметры!$B$20+H15*Параметры!$B$21+H16*Параметры!$B$22)*Параметры!$B$16*Параметры!$B$18+H10*Параметры!$B$18+H8*Параметры!$B$19</f>
        <v>81.67294598511</v>
      </c>
      <c r="I25" s="6" t="n">
        <f aca="false">(I14*Параметры!$B$20+I15*Параметры!$B$21+I16*Параметры!$B$22)*Параметры!$B$16*Параметры!$B$18+I10*Параметры!$B$18+I8*Параметры!$B$19</f>
        <v>88.5205376169141</v>
      </c>
      <c r="J25" s="6" t="n">
        <f aca="false">(J14*Параметры!$B$20+J15*Параметры!$B$21+J16*Параметры!$B$22)*Параметры!$B$16*Параметры!$B$18+J10*Параметры!$B$18+J8*Параметры!$B$19</f>
        <v>95.2657387700149</v>
      </c>
      <c r="K25" s="6" t="n">
        <f aca="false">(K14*Параметры!$B$20+K15*Параметры!$B$21+K16*Параметры!$B$22)*Параметры!$B$16*Параметры!$B$18+K10*Параметры!$B$18+K8*Параметры!$B$19</f>
        <v>101.927025005987</v>
      </c>
      <c r="L25" s="6" t="n">
        <f aca="false">(L14*Параметры!$B$20+L15*Параметры!$B$21+L16*Параметры!$B$22)*Параметры!$B$16*Параметры!$B$18+L10*Параметры!$B$18+L8*Параметры!$B$19</f>
        <v>108.521917843937</v>
      </c>
      <c r="M25" s="6" t="n">
        <f aca="false">(M14*Параметры!$B$20+M15*Параметры!$B$21+M16*Параметры!$B$22)*Параметры!$B$16*Параметры!$B$18+M10*Параметры!$B$18+M8*Параметры!$B$19</f>
        <v>115.067061720882</v>
      </c>
      <c r="N25" s="6" t="n">
        <f aca="false">(N14*Параметры!$B$20+N15*Параметры!$B$21+N16*Параметры!$B$22)*Параметры!$B$16*Параметры!$B$18+N10*Параметры!$B$18+N8*Параметры!$B$19</f>
        <v>121.578295870222</v>
      </c>
      <c r="O25" s="6" t="n">
        <f aca="false">(O14*Параметры!$B$20+O15*Параметры!$B$21+O16*Параметры!$B$22)*Параметры!$B$16*Параметры!$B$18+O10*Параметры!$B$18+O8*Параметры!$B$19</f>
        <v>128.070721483201</v>
      </c>
      <c r="P25" s="6" t="n">
        <f aca="false">(P14*Параметры!$B$20+P15*Параметры!$B$21+P16*Параметры!$B$22)*Параметры!$B$16*Параметры!$B$18+P10*Параметры!$B$18+P8*Параметры!$B$19</f>
        <v>134.558764492989</v>
      </c>
      <c r="Q25" s="6" t="n">
        <f aca="false">(Q14*Параметры!$B$20+Q15*Параметры!$B$21+Q16*Параметры!$B$22)*Параметры!$B$16*Параметры!$B$18+Q10*Параметры!$B$18+Q8*Параметры!$B$19</f>
        <v>141.0562342975</v>
      </c>
      <c r="R25" s="6" t="n">
        <f aca="false">(R14*Параметры!$B$20+R15*Параметры!$B$21+R16*Параметры!$B$22)*Параметры!$B$16*Параметры!$B$18+R10*Параметры!$B$18+R8*Параметры!$B$19</f>
        <v>147.576378715266</v>
      </c>
      <c r="S25" s="6" t="n">
        <f aca="false">(S14*Параметры!$B$20+S15*Параметры!$B$21+S16*Параметры!$B$22)*Параметры!$B$16*Параметры!$B$18+S10*Параметры!$B$18+S8*Параметры!$B$19</f>
        <v>154.131935448347</v>
      </c>
      <c r="T25" s="6" t="n">
        <f aca="false">(T14*Параметры!$B$20+T15*Параметры!$B$21+T16*Параметры!$B$22)*Параметры!$B$16*Параметры!$B$18+T10*Параметры!$B$18+T8*Параметры!$B$19</f>
        <v>160.735180307406</v>
      </c>
      <c r="U25" s="6" t="n">
        <f aca="false">(U14*Параметры!$B$20+U15*Параметры!$B$21+U16*Параметры!$B$22)*Параметры!$B$16*Параметры!$B$18+U10*Параметры!$B$18+U8*Параметры!$B$19</f>
        <v>167.397972436544</v>
      </c>
      <c r="V25" s="6" t="n">
        <f aca="false">(V14*Параметры!$B$20+V15*Параметры!$B$21+V16*Параметры!$B$22)*Параметры!$B$16*Параметры!$B$18+V10*Параметры!$B$18+V8*Параметры!$B$19</f>
        <v>174.131796759162</v>
      </c>
      <c r="W25" s="6" t="n">
        <f aca="false">(W14*Параметры!$B$20+W15*Параметры!$B$21+W16*Параметры!$B$22)*Параметры!$B$16*Параметры!$B$18+W10*Параметры!$B$18+W8*Параметры!$B$19</f>
        <v>180.947803850992</v>
      </c>
      <c r="X25" s="6" t="n">
        <f aca="false">(X14*Параметры!$B$20+X15*Параметры!$B$21+X16*Параметры!$B$22)*Параметры!$B$16*Параметры!$B$18+X10*Параметры!$B$18+X8*Параметры!$B$19</f>
        <v>187.856847432343</v>
      </c>
      <c r="Y25" s="6" t="n">
        <f aca="false">(Y14*Параметры!$B$20+Y15*Параметры!$B$21+Y16*Параметры!$B$22)*Параметры!$B$16*Параметры!$B$18+Y10*Параметры!$B$18+Y8*Параметры!$B$19</f>
        <v>194.869519658527</v>
      </c>
    </row>
    <row r="26" customFormat="false" ht="15" hidden="false" customHeight="false" outlineLevel="0" collapsed="false">
      <c r="A26" s="4" t="s">
        <v>62</v>
      </c>
      <c r="B26" s="6" t="n">
        <f aca="false">B20*Параметры!$B$24</f>
        <v>21.2974344</v>
      </c>
      <c r="C26" s="6" t="n">
        <f aca="false">C20*Параметры!$B$24</f>
        <v>37.523375424</v>
      </c>
      <c r="D26" s="6" t="n">
        <f aca="false">D20*Параметры!$B$24</f>
        <v>53.14500341928</v>
      </c>
      <c r="E26" s="6" t="n">
        <f aca="false">E20*Параметры!$B$24</f>
        <v>68.2205653831392</v>
      </c>
      <c r="F26" s="6" t="n">
        <f aca="false">F20*Параметры!$B$24</f>
        <v>82.8047093756245</v>
      </c>
      <c r="G26" s="6" t="n">
        <f aca="false">G20*Параметры!$B$24</f>
        <v>96.948750795715</v>
      </c>
      <c r="H26" s="6" t="n">
        <f aca="false">H20*Параметры!$B$24</f>
        <v>110.700920448691</v>
      </c>
      <c r="I26" s="6" t="n">
        <f aca="false">I20*Параметры!$B$24</f>
        <v>124.106595692218</v>
      </c>
      <c r="J26" s="6" t="n">
        <f aca="false">J20*Параметры!$B$24</f>
        <v>137.208515858947</v>
      </c>
      <c r="K26" s="6" t="n">
        <f aca="false">K20*Параметры!$B$24</f>
        <v>150.046983069961</v>
      </c>
      <c r="L26" s="6" t="n">
        <f aca="false">L20*Параметры!$B$24</f>
        <v>162.660049475837</v>
      </c>
      <c r="M26" s="6" t="n">
        <f aca="false">M20*Параметры!$B$24</f>
        <v>175.083691889926</v>
      </c>
      <c r="N26" s="6" t="n">
        <f aca="false">N20*Параметры!$B$24</f>
        <v>187.35197471135</v>
      </c>
      <c r="O26" s="6" t="n">
        <f aca="false">O20*Параметры!$B$24</f>
        <v>199.497201972886</v>
      </c>
      <c r="P26" s="6" t="n">
        <f aca="false">P20*Параметры!$B$24</f>
        <v>211.550059290854</v>
      </c>
      <c r="Q26" s="6" t="n">
        <f aca="false">Q20*Параметры!$B$24</f>
        <v>223.539746440247</v>
      </c>
      <c r="R26" s="6" t="n">
        <f aca="false">R20*Параметры!$B$24</f>
        <v>235.494101228175</v>
      </c>
      <c r="S26" s="6" t="n">
        <f aca="false">S20*Параметры!$B$24</f>
        <v>247.43971529211</v>
      </c>
      <c r="T26" s="6" t="n">
        <f aca="false">T20*Параметры!$B$24</f>
        <v>259.402042406067</v>
      </c>
      <c r="U26" s="6" t="n">
        <f aca="false">U20*Параметры!$B$24</f>
        <v>271.405499837579</v>
      </c>
      <c r="V26" s="6" t="n">
        <f aca="false">V20*Параметры!$B$24</f>
        <v>283.473563260884</v>
      </c>
      <c r="W26" s="6" t="n">
        <f aca="false">W20*Параметры!$B$24</f>
        <v>295.628855696915</v>
      </c>
      <c r="X26" s="6" t="n">
        <f aca="false">X20*Параметры!$B$24</f>
        <v>307.893230918352</v>
      </c>
      <c r="Y26" s="6" t="n">
        <f aca="false">Y20*Параметры!$B$24</f>
        <v>320.287851727896</v>
      </c>
    </row>
    <row r="27" customFormat="false" ht="15" hidden="false" customHeight="false" outlineLevel="0" collapsed="false">
      <c r="A27" s="9" t="s">
        <v>135</v>
      </c>
    </row>
    <row r="28" customFormat="false" ht="15" hidden="false" customHeight="false" outlineLevel="0" collapsed="false">
      <c r="A28" s="4" t="s">
        <v>136</v>
      </c>
      <c r="B28" s="8" t="n">
        <f aca="false">SUM(B20)</f>
        <v>560.4588</v>
      </c>
      <c r="C28" s="8" t="n">
        <f aca="false">SUM(B20:C20)</f>
        <v>1547.916048</v>
      </c>
      <c r="D28" s="8" t="n">
        <f aca="false">SUM(B20:D20)</f>
        <v>2946.46876956</v>
      </c>
      <c r="E28" s="8" t="n">
        <f aca="false">SUM(B20:E20)</f>
        <v>4741.7468059584</v>
      </c>
      <c r="F28" s="8" t="n">
        <f aca="false">SUM(B20:F20)</f>
        <v>6920.81810531694</v>
      </c>
      <c r="G28" s="8" t="n">
        <f aca="false">SUM(B20:G20)</f>
        <v>9472.10102099365</v>
      </c>
      <c r="H28" s="8" t="n">
        <f aca="false">SUM(B20:H20)</f>
        <v>12385.2831380645</v>
      </c>
      <c r="I28" s="8" t="n">
        <f aca="false">SUM(B20:I20)</f>
        <v>15651.2461825965</v>
      </c>
      <c r="J28" s="8" t="n">
        <f aca="false">SUM(B20:J20)</f>
        <v>19261.9965999372</v>
      </c>
      <c r="K28" s="8" t="n">
        <f aca="false">SUM(B20:K20)</f>
        <v>23210.6014175678</v>
      </c>
      <c r="L28" s="8" t="n">
        <f aca="false">SUM(B20:L20)</f>
        <v>27491.129035353</v>
      </c>
      <c r="M28" s="8" t="n">
        <f aca="false">SUM(B20:M20)</f>
        <v>32098.5946114036</v>
      </c>
      <c r="N28" s="8" t="n">
        <f aca="false">SUM(C20:N20)</f>
        <v>36468.4509353865</v>
      </c>
      <c r="O28" s="8" t="n">
        <f aca="false">SUM(D20:O20)</f>
        <v>40730.920055094</v>
      </c>
      <c r="P28" s="8" t="n">
        <f aca="false">SUM(E20:P20)</f>
        <v>44899.4741569776</v>
      </c>
      <c r="Q28" s="8" t="n">
        <f aca="false">SUM(F20:Q20)</f>
        <v>48986.8210269015</v>
      </c>
      <c r="R28" s="8" t="n">
        <f aca="false">SUM(G20:R20)</f>
        <v>53004.962917758</v>
      </c>
      <c r="S28" s="8" t="n">
        <f aca="false">SUM(H20:S20)</f>
        <v>56965.2514571369</v>
      </c>
      <c r="T28" s="8" t="n">
        <f aca="false">SUM(I20:T20)</f>
        <v>60878.4388770678</v>
      </c>
      <c r="U28" s="8" t="n">
        <f aca="false">SUM(J20:U20)</f>
        <v>64754.7258282615</v>
      </c>
      <c r="V28" s="8" t="n">
        <f aca="false">SUM(K20:V20)</f>
        <v>68603.8060230493</v>
      </c>
      <c r="W28" s="8" t="n">
        <f aca="false">SUM(L20:W20)</f>
        <v>72434.9079342849</v>
      </c>
      <c r="X28" s="8" t="n">
        <f aca="false">SUM(M20:X20)</f>
        <v>76256.8337617196</v>
      </c>
      <c r="Y28" s="8" t="n">
        <f aca="false">SUM(N20:Y20)</f>
        <v>80077.9958627188</v>
      </c>
    </row>
    <row r="29" customFormat="false" ht="15" hidden="false" customHeight="false" outlineLevel="0" collapsed="false">
      <c r="A29" s="4" t="s">
        <v>137</v>
      </c>
      <c r="B29" s="6" t="n">
        <f aca="false">B20*Параметры!$B$25</f>
        <v>33.627528</v>
      </c>
      <c r="C29" s="6" t="n">
        <f aca="false">C20*Параметры!$B$25</f>
        <v>59.24743488</v>
      </c>
      <c r="D29" s="6" t="n">
        <f aca="false">D20*Параметры!$B$25</f>
        <v>83.9131632936</v>
      </c>
      <c r="E29" s="6" t="n">
        <f aca="false">E20*Параметры!$B$25</f>
        <v>107.716682183904</v>
      </c>
      <c r="F29" s="6" t="n">
        <f aca="false">F20*Параметры!$B$25</f>
        <v>130.744277961512</v>
      </c>
      <c r="G29" s="6" t="n">
        <f aca="false">G20*Параметры!$B$25</f>
        <v>153.076974940603</v>
      </c>
      <c r="H29" s="6" t="n">
        <f aca="false">H20*Параметры!$B$25</f>
        <v>174.790927024248</v>
      </c>
      <c r="I29" s="6" t="n">
        <f aca="false">I20*Параметры!$B$25</f>
        <v>195.957782671924</v>
      </c>
      <c r="J29" s="6" t="n">
        <f aca="false">J20*Параметры!$B$25</f>
        <v>216.645025040443</v>
      </c>
      <c r="K29" s="6" t="n">
        <f aca="false">K20*Параметры!$B$25</f>
        <v>236.916289057832</v>
      </c>
      <c r="L29" s="6" t="n">
        <f aca="false">L20*Параметры!$B$25</f>
        <v>256.831657067111</v>
      </c>
      <c r="M29" s="6" t="n">
        <f aca="false">M20*Параметры!$B$25</f>
        <v>276.44793456304</v>
      </c>
      <c r="N29" s="6" t="n">
        <f aca="false">N20*Параметры!$B$25</f>
        <v>295.818907438973</v>
      </c>
      <c r="O29" s="6" t="n">
        <f aca="false">O20*Параметры!$B$25</f>
        <v>314.995582062451</v>
      </c>
      <c r="P29" s="6" t="n">
        <f aca="false">P20*Параметры!$B$25</f>
        <v>334.026409406612</v>
      </c>
      <c r="Q29" s="6" t="n">
        <f aca="false">Q20*Параметры!$B$25</f>
        <v>352.957494379337</v>
      </c>
      <c r="R29" s="6" t="n">
        <f aca="false">R20*Параметры!$B$25</f>
        <v>371.832791412907</v>
      </c>
      <c r="S29" s="6" t="n">
        <f aca="false">S20*Параметры!$B$25</f>
        <v>390.694287303332</v>
      </c>
      <c r="T29" s="6" t="n">
        <f aca="false">T20*Параметры!$B$25</f>
        <v>409.582172220106</v>
      </c>
      <c r="U29" s="6" t="n">
        <f aca="false">U20*Параметры!$B$25</f>
        <v>428.534999743546</v>
      </c>
      <c r="V29" s="6" t="n">
        <f aca="false">V20*Параметры!$B$25</f>
        <v>447.589836727711</v>
      </c>
      <c r="W29" s="6" t="n">
        <f aca="false">W20*Параметры!$B$25</f>
        <v>466.782403731971</v>
      </c>
      <c r="X29" s="6" t="n">
        <f aca="false">X20*Параметры!$B$25</f>
        <v>486.147206713188</v>
      </c>
      <c r="Y29" s="6" t="n">
        <f aca="false">Y20*Параметры!$B$25</f>
        <v>505.717660622994</v>
      </c>
    </row>
    <row r="30" customFormat="false" ht="15" hidden="false" customHeight="false" outlineLevel="0" collapsed="false">
      <c r="A30" s="4" t="s">
        <v>138</v>
      </c>
      <c r="B30" s="6" t="n">
        <f aca="false">IF(B28&gt;Параметры!$B$26,B20*Параметры!$B$27,0)</f>
        <v>0</v>
      </c>
      <c r="C30" s="6" t="n">
        <f aca="false">IF(C28&gt;Параметры!$B$26,C20*Параметры!$B$27,0)</f>
        <v>0</v>
      </c>
      <c r="D30" s="6" t="n">
        <f aca="false">IF(D28&gt;Параметры!$B$26,D20*Параметры!$B$27,0)</f>
        <v>0</v>
      </c>
      <c r="E30" s="6" t="n">
        <f aca="false">IF(E28&gt;Параметры!$B$26,E20*Параметры!$B$27,0)</f>
        <v>0</v>
      </c>
      <c r="F30" s="6" t="n">
        <f aca="false">IF(F28&gt;Параметры!$B$26,F20*Параметры!$B$27,0)</f>
        <v>0</v>
      </c>
      <c r="G30" s="6" t="n">
        <f aca="false">IF(G28&gt;Параметры!$B$26,G20*Параметры!$B$27,0)</f>
        <v>0</v>
      </c>
      <c r="H30" s="6" t="n">
        <f aca="false">IF(H28&gt;Параметры!$B$26,H20*Параметры!$B$27,0)</f>
        <v>0</v>
      </c>
      <c r="I30" s="6" t="n">
        <f aca="false">IF(I28&gt;Параметры!$B$26,I20*Параметры!$B$27,0)</f>
        <v>0</v>
      </c>
      <c r="J30" s="6" t="n">
        <f aca="false">IF(J28&gt;Параметры!$B$26,J20*Параметры!$B$27,0)</f>
        <v>0</v>
      </c>
      <c r="K30" s="6" t="n">
        <f aca="false">IF(K28&gt;Параметры!$B$26,K20*Параметры!$B$27,0)</f>
        <v>0</v>
      </c>
      <c r="L30" s="6" t="n">
        <f aca="false">IF(L28&gt;Параметры!$B$26,L20*Параметры!$B$27,0)</f>
        <v>0</v>
      </c>
      <c r="M30" s="6" t="n">
        <f aca="false">IF(M28&gt;Параметры!$B$26,M20*Параметры!$B$27,0)</f>
        <v>0</v>
      </c>
      <c r="N30" s="6" t="n">
        <f aca="false">IF(N28&gt;Параметры!$B$26,N20*Параметры!$B$27,0)</f>
        <v>0</v>
      </c>
      <c r="O30" s="6" t="n">
        <f aca="false">IF(O28&gt;Параметры!$B$26,O20*Параметры!$B$27,0)</f>
        <v>0</v>
      </c>
      <c r="P30" s="6" t="n">
        <f aca="false">IF(P28&gt;Параметры!$B$26,P20*Параметры!$B$27,0)</f>
        <v>0</v>
      </c>
      <c r="Q30" s="6" t="n">
        <f aca="false">IF(Q28&gt;Параметры!$B$26,Q20*Параметры!$B$27,0)</f>
        <v>0</v>
      </c>
      <c r="R30" s="6" t="n">
        <f aca="false">IF(R28&gt;Параметры!$B$26,R20*Параметры!$B$27,0)</f>
        <v>0</v>
      </c>
      <c r="S30" s="6" t="n">
        <f aca="false">IF(S28&gt;Параметры!$B$26,S20*Параметры!$B$27,0)</f>
        <v>0</v>
      </c>
      <c r="T30" s="6" t="n">
        <f aca="false">IF(T28&gt;Параметры!$B$26,T20*Параметры!$B$27,0)</f>
        <v>0</v>
      </c>
      <c r="U30" s="6" t="n">
        <f aca="false">IF(U28&gt;Параметры!$B$26,U20*Параметры!$B$27,0)</f>
        <v>0</v>
      </c>
      <c r="V30" s="6" t="n">
        <f aca="false">IF(V28&gt;Параметры!$B$26,V20*Параметры!$B$27,0)</f>
        <v>0</v>
      </c>
      <c r="W30" s="6" t="n">
        <f aca="false">IF(W28&gt;Параметры!$B$26,W20*Параметры!$B$27,0)</f>
        <v>0</v>
      </c>
      <c r="X30" s="6" t="n">
        <f aca="false">IF(X28&gt;Параметры!$B$26,X20*Параметры!$B$27,0)</f>
        <v>0</v>
      </c>
      <c r="Y30" s="6" t="n">
        <f aca="false">IF(Y28&gt;Параметры!$B$26,Y20*Параметры!$B$27,0)</f>
        <v>0</v>
      </c>
    </row>
    <row r="31" customFormat="false" ht="15" hidden="false" customHeight="false" outlineLevel="0" collapsed="false">
      <c r="A31" s="4" t="s">
        <v>139</v>
      </c>
      <c r="B31" s="6" t="n">
        <f aca="false">Параметры!$B$28/12+MAX(0,B20-Параметры!$B$29/12)*Параметры!$B$30</f>
        <v>4782.5</v>
      </c>
      <c r="C31" s="6" t="n">
        <f aca="false">Параметры!$B$28/12+MAX(0,C20-Параметры!$B$29/12)*Параметры!$B$30</f>
        <v>4782.5</v>
      </c>
      <c r="D31" s="6" t="n">
        <f aca="false">Параметры!$B$28/12+MAX(0,D20-Параметры!$B$29/12)*Параметры!$B$30</f>
        <v>4782.5</v>
      </c>
      <c r="E31" s="6" t="n">
        <f aca="false">Параметры!$B$28/12+MAX(0,E20-Параметры!$B$29/12)*Параметры!$B$30</f>
        <v>4782.5</v>
      </c>
      <c r="F31" s="6" t="n">
        <f aca="false">Параметры!$B$28/12+MAX(0,F20-Параметры!$B$29/12)*Параметры!$B$30</f>
        <v>4782.5</v>
      </c>
      <c r="G31" s="6" t="n">
        <f aca="false">Параметры!$B$28/12+MAX(0,G20-Параметры!$B$29/12)*Параметры!$B$30</f>
        <v>4782.5</v>
      </c>
      <c r="H31" s="6" t="n">
        <f aca="false">Параметры!$B$28/12+MAX(0,H20-Параметры!$B$29/12)*Параметры!$B$30</f>
        <v>4782.5</v>
      </c>
      <c r="I31" s="6" t="n">
        <f aca="false">Параметры!$B$28/12+MAX(0,I20-Параметры!$B$29/12)*Параметры!$B$30</f>
        <v>4782.5</v>
      </c>
      <c r="J31" s="6" t="n">
        <f aca="false">Параметры!$B$28/12+MAX(0,J20-Параметры!$B$29/12)*Параметры!$B$30</f>
        <v>4782.5</v>
      </c>
      <c r="K31" s="6" t="n">
        <f aca="false">Параметры!$B$28/12+MAX(0,K20-Параметры!$B$29/12)*Параметры!$B$30</f>
        <v>4782.5</v>
      </c>
      <c r="L31" s="6" t="n">
        <f aca="false">Параметры!$B$28/12+MAX(0,L20-Параметры!$B$29/12)*Параметры!$B$30</f>
        <v>4782.5</v>
      </c>
      <c r="M31" s="6" t="n">
        <f aca="false">Параметры!$B$28/12+MAX(0,M20-Параметры!$B$29/12)*Параметры!$B$30</f>
        <v>4782.5</v>
      </c>
      <c r="N31" s="6" t="n">
        <f aca="false">Параметры!$B$28/12+MAX(0,N20-Параметры!$B$29/12)*Параметры!$B$30</f>
        <v>4782.5</v>
      </c>
      <c r="O31" s="6" t="n">
        <f aca="false">Параметры!$B$28/12+MAX(0,O20-Параметры!$B$29/12)*Параметры!$B$30</f>
        <v>4782.5</v>
      </c>
      <c r="P31" s="6" t="n">
        <f aca="false">Параметры!$B$28/12+MAX(0,P20-Параметры!$B$29/12)*Параметры!$B$30</f>
        <v>4782.5</v>
      </c>
      <c r="Q31" s="6" t="n">
        <f aca="false">Параметры!$B$28/12+MAX(0,Q20-Параметры!$B$29/12)*Параметры!$B$30</f>
        <v>4782.5</v>
      </c>
      <c r="R31" s="6" t="n">
        <f aca="false">Параметры!$B$28/12+MAX(0,R20-Параметры!$B$29/12)*Параметры!$B$30</f>
        <v>4782.5</v>
      </c>
      <c r="S31" s="6" t="n">
        <f aca="false">Параметры!$B$28/12+MAX(0,S20-Параметры!$B$29/12)*Параметры!$B$30</f>
        <v>4782.5</v>
      </c>
      <c r="T31" s="6" t="n">
        <f aca="false">Параметры!$B$28/12+MAX(0,T20-Параметры!$B$29/12)*Параметры!$B$30</f>
        <v>4782.5</v>
      </c>
      <c r="U31" s="6" t="n">
        <f aca="false">Параметры!$B$28/12+MAX(0,U20-Параметры!$B$29/12)*Параметры!$B$30</f>
        <v>4782.5</v>
      </c>
      <c r="V31" s="6" t="n">
        <f aca="false">Параметры!$B$28/12+MAX(0,V20-Параметры!$B$29/12)*Параметры!$B$30</f>
        <v>4782.5</v>
      </c>
      <c r="W31" s="6" t="n">
        <f aca="false">Параметры!$B$28/12+MAX(0,W20-Параметры!$B$29/12)*Параметры!$B$30</f>
        <v>4782.5</v>
      </c>
      <c r="X31" s="6" t="n">
        <f aca="false">Параметры!$B$28/12+MAX(0,X20-Параметры!$B$29/12)*Параметры!$B$30</f>
        <v>4782.5</v>
      </c>
      <c r="Y31" s="6" t="n">
        <f aca="false">Параметры!$B$28/12+MAX(0,Y20-Параметры!$B$29/12)*Параметры!$B$30</f>
        <v>4782.5</v>
      </c>
    </row>
    <row r="32" customFormat="false" ht="15" hidden="false" customHeight="false" outlineLevel="0" collapsed="false">
      <c r="A32" s="9" t="s">
        <v>140</v>
      </c>
    </row>
    <row r="33" customFormat="false" ht="15" hidden="false" customHeight="false" outlineLevel="0" collapsed="false">
      <c r="A33" s="4" t="s">
        <v>141</v>
      </c>
      <c r="B33" s="6" t="n">
        <f aca="false">Параметры!$B$32+Параметры!$B$33+Параметры!$B$34+Параметры!$B$35+Параметры!$B$36</f>
        <v>6799</v>
      </c>
      <c r="C33" s="6" t="n">
        <f aca="false">Параметры!$B$32+Параметры!$B$33+Параметры!$B$34+Параметры!$B$35+Параметры!$B$36</f>
        <v>6799</v>
      </c>
      <c r="D33" s="6" t="n">
        <f aca="false">Параметры!$B$32+Параметры!$B$33+Параметры!$B$34+Параметры!$B$35+Параметры!$B$36</f>
        <v>6799</v>
      </c>
      <c r="E33" s="6" t="n">
        <f aca="false">Параметры!$B$32+Параметры!$B$33+Параметры!$B$34+Параметры!$B$35+Параметры!$B$36</f>
        <v>6799</v>
      </c>
      <c r="F33" s="6" t="n">
        <f aca="false">Параметры!$B$32+Параметры!$B$33+Параметры!$B$34+Параметры!$B$35+Параметры!$B$36</f>
        <v>6799</v>
      </c>
      <c r="G33" s="6" t="n">
        <f aca="false">Параметры!$B$32+Параметры!$B$33+Параметры!$B$34+Параметры!$B$35+Параметры!$B$36</f>
        <v>6799</v>
      </c>
      <c r="H33" s="6" t="n">
        <f aca="false">Параметры!$B$32+Параметры!$B$33+Параметры!$B$34+Параметры!$B$35+Параметры!$B$36</f>
        <v>6799</v>
      </c>
      <c r="I33" s="6" t="n">
        <f aca="false">Параметры!$B$32+Параметры!$B$33+Параметры!$B$34+Параметры!$B$35+Параметры!$B$36</f>
        <v>6799</v>
      </c>
      <c r="J33" s="6" t="n">
        <f aca="false">Параметры!$B$32+Параметры!$B$33+Параметры!$B$34+Параметры!$B$35+Параметры!$B$36</f>
        <v>6799</v>
      </c>
      <c r="K33" s="6" t="n">
        <f aca="false">Параметры!$B$32+Параметры!$B$33+Параметры!$B$34+Параметры!$B$35+Параметры!$B$36</f>
        <v>6799</v>
      </c>
      <c r="L33" s="6" t="n">
        <f aca="false">Параметры!$B$32+Параметры!$B$33+Параметры!$B$34+Параметры!$B$35+Параметры!$B$36</f>
        <v>6799</v>
      </c>
      <c r="M33" s="6" t="n">
        <f aca="false">Параметры!$B$32+Параметры!$B$33+Параметры!$B$34+Параметры!$B$35+Параметры!$B$36</f>
        <v>6799</v>
      </c>
      <c r="N33" s="6" t="n">
        <f aca="false">Параметры!$B$32+Параметры!$B$33+Параметры!$B$34+Параметры!$B$35+Параметры!$B$36</f>
        <v>6799</v>
      </c>
      <c r="O33" s="6" t="n">
        <f aca="false">Параметры!$B$32+Параметры!$B$33+Параметры!$B$34+Параметры!$B$35+Параметры!$B$36</f>
        <v>6799</v>
      </c>
      <c r="P33" s="6" t="n">
        <f aca="false">Параметры!$B$32+Параметры!$B$33+Параметры!$B$34+Параметры!$B$35+Параметры!$B$36</f>
        <v>6799</v>
      </c>
      <c r="Q33" s="6" t="n">
        <f aca="false">Параметры!$B$32+Параметры!$B$33+Параметры!$B$34+Параметры!$B$35+Параметры!$B$36</f>
        <v>6799</v>
      </c>
      <c r="R33" s="6" t="n">
        <f aca="false">Параметры!$B$32+Параметры!$B$33+Параметры!$B$34+Параметры!$B$35+Параметры!$B$36</f>
        <v>6799</v>
      </c>
      <c r="S33" s="6" t="n">
        <f aca="false">Параметры!$B$32+Параметры!$B$33+Параметры!$B$34+Параметры!$B$35+Параметры!$B$36</f>
        <v>6799</v>
      </c>
      <c r="T33" s="6" t="n">
        <f aca="false">Параметры!$B$32+Параметры!$B$33+Параметры!$B$34+Параметры!$B$35+Параметры!$B$36</f>
        <v>6799</v>
      </c>
      <c r="U33" s="6" t="n">
        <f aca="false">Параметры!$B$32+Параметры!$B$33+Параметры!$B$34+Параметры!$B$35+Параметры!$B$36</f>
        <v>6799</v>
      </c>
      <c r="V33" s="6" t="n">
        <f aca="false">Параметры!$B$32+Параметры!$B$33+Параметры!$B$34+Параметры!$B$35+Параметры!$B$36</f>
        <v>6799</v>
      </c>
      <c r="W33" s="6" t="n">
        <f aca="false">Параметры!$B$32+Параметры!$B$33+Параметры!$B$34+Параметры!$B$35+Параметры!$B$36</f>
        <v>6799</v>
      </c>
      <c r="X33" s="6" t="n">
        <f aca="false">Параметры!$B$32+Параметры!$B$33+Параметры!$B$34+Параметры!$B$35+Параметры!$B$36</f>
        <v>6799</v>
      </c>
      <c r="Y33" s="6" t="n">
        <f aca="false">Параметры!$B$32+Параметры!$B$33+Параметры!$B$34+Параметры!$B$35+Параметры!$B$36</f>
        <v>6799</v>
      </c>
    </row>
    <row r="34" customFormat="false" ht="15" hidden="false" customHeight="false" outlineLevel="0" collapsed="false">
      <c r="A34" s="4" t="s">
        <v>142</v>
      </c>
      <c r="B34" s="6" t="n">
        <f aca="false">Параметры!$B$41</f>
        <v>0</v>
      </c>
      <c r="C34" s="6" t="n">
        <f aca="false">Параметры!$B$41</f>
        <v>0</v>
      </c>
      <c r="D34" s="6" t="n">
        <f aca="false">Параметры!$B$41</f>
        <v>0</v>
      </c>
      <c r="E34" s="6" t="n">
        <f aca="false">Параметры!$B$41</f>
        <v>0</v>
      </c>
      <c r="F34" s="6" t="n">
        <f aca="false">Параметры!$B$41</f>
        <v>0</v>
      </c>
      <c r="G34" s="6" t="n">
        <f aca="false">Параметры!$B$41</f>
        <v>0</v>
      </c>
      <c r="H34" s="6" t="n">
        <f aca="false">Параметры!$B$41</f>
        <v>0</v>
      </c>
      <c r="I34" s="6" t="n">
        <f aca="false">Параметры!$B$41</f>
        <v>0</v>
      </c>
      <c r="J34" s="6" t="n">
        <f aca="false">Параметры!$B$41</f>
        <v>0</v>
      </c>
      <c r="K34" s="6" t="n">
        <f aca="false">Параметры!$B$41</f>
        <v>0</v>
      </c>
      <c r="L34" s="6" t="n">
        <f aca="false">Параметры!$B$41</f>
        <v>0</v>
      </c>
      <c r="M34" s="6" t="n">
        <f aca="false">Параметры!$B$41</f>
        <v>0</v>
      </c>
      <c r="N34" s="6" t="n">
        <f aca="false">Параметры!$B$41</f>
        <v>0</v>
      </c>
      <c r="O34" s="6" t="n">
        <f aca="false">Параметры!$B$41</f>
        <v>0</v>
      </c>
      <c r="P34" s="6" t="n">
        <f aca="false">Параметры!$B$41</f>
        <v>0</v>
      </c>
      <c r="Q34" s="6" t="n">
        <f aca="false">Параметры!$B$41</f>
        <v>0</v>
      </c>
      <c r="R34" s="6" t="n">
        <f aca="false">Параметры!$B$41</f>
        <v>0</v>
      </c>
      <c r="S34" s="6" t="n">
        <f aca="false">Параметры!$B$41</f>
        <v>0</v>
      </c>
      <c r="T34" s="6" t="n">
        <f aca="false">Параметры!$B$41</f>
        <v>0</v>
      </c>
      <c r="U34" s="6" t="n">
        <f aca="false">Параметры!$B$41</f>
        <v>0</v>
      </c>
      <c r="V34" s="6" t="n">
        <f aca="false">Параметры!$B$41</f>
        <v>0</v>
      </c>
      <c r="W34" s="6" t="n">
        <f aca="false">Параметры!$B$41</f>
        <v>0</v>
      </c>
      <c r="X34" s="6" t="n">
        <f aca="false">Параметры!$B$41</f>
        <v>0</v>
      </c>
      <c r="Y34" s="6" t="n">
        <f aca="false">Параметры!$B$41</f>
        <v>0</v>
      </c>
    </row>
    <row r="35" customFormat="false" ht="15" hidden="false" customHeight="false" outlineLevel="0" collapsed="false">
      <c r="A35" s="4" t="s">
        <v>88</v>
      </c>
      <c r="B35" s="6" t="n">
        <f aca="false">Параметры!$B$37</f>
        <v>0</v>
      </c>
      <c r="C35" s="6" t="n">
        <f aca="false">Параметры!$B$37</f>
        <v>0</v>
      </c>
      <c r="D35" s="6" t="n">
        <f aca="false">Параметры!$B$37</f>
        <v>0</v>
      </c>
      <c r="E35" s="6" t="n">
        <f aca="false">Параметры!$B$37</f>
        <v>0</v>
      </c>
      <c r="F35" s="6" t="n">
        <f aca="false">Параметры!$B$37</f>
        <v>0</v>
      </c>
      <c r="G35" s="6" t="n">
        <f aca="false">Параметры!$B$37</f>
        <v>0</v>
      </c>
      <c r="H35" s="6" t="n">
        <f aca="false">Параметры!$B$37</f>
        <v>0</v>
      </c>
      <c r="I35" s="6" t="n">
        <f aca="false">Параметры!$B$37</f>
        <v>0</v>
      </c>
      <c r="J35" s="6" t="n">
        <f aca="false">Параметры!$B$37</f>
        <v>0</v>
      </c>
      <c r="K35" s="6" t="n">
        <f aca="false">Параметры!$B$37</f>
        <v>0</v>
      </c>
      <c r="L35" s="6" t="n">
        <f aca="false">Параметры!$B$37</f>
        <v>0</v>
      </c>
      <c r="M35" s="6" t="n">
        <f aca="false">Параметры!$B$37</f>
        <v>0</v>
      </c>
      <c r="N35" s="6" t="n">
        <f aca="false">Параметры!$B$37</f>
        <v>0</v>
      </c>
      <c r="O35" s="6" t="n">
        <f aca="false">Параметры!$B$37</f>
        <v>0</v>
      </c>
      <c r="P35" s="6" t="n">
        <f aca="false">Параметры!$B$37</f>
        <v>0</v>
      </c>
      <c r="Q35" s="6" t="n">
        <f aca="false">Параметры!$B$37</f>
        <v>0</v>
      </c>
      <c r="R35" s="6" t="n">
        <f aca="false">Параметры!$B$37</f>
        <v>0</v>
      </c>
      <c r="S35" s="6" t="n">
        <f aca="false">Параметры!$B$37</f>
        <v>0</v>
      </c>
      <c r="T35" s="6" t="n">
        <f aca="false">Параметры!$B$37</f>
        <v>0</v>
      </c>
      <c r="U35" s="6" t="n">
        <f aca="false">Параметры!$B$37</f>
        <v>0</v>
      </c>
      <c r="V35" s="6" t="n">
        <f aca="false">Параметры!$B$37</f>
        <v>0</v>
      </c>
      <c r="W35" s="6" t="n">
        <f aca="false">Параметры!$B$37</f>
        <v>0</v>
      </c>
      <c r="X35" s="6" t="n">
        <f aca="false">Параметры!$B$37</f>
        <v>0</v>
      </c>
      <c r="Y35" s="6" t="n">
        <f aca="false">Параметры!$B$37</f>
        <v>0</v>
      </c>
    </row>
    <row r="36" customFormat="false" ht="15" hidden="false" customHeight="false" outlineLevel="0" collapsed="false">
      <c r="A36" s="9" t="s">
        <v>143</v>
      </c>
    </row>
    <row r="37" customFormat="false" ht="15" hidden="false" customHeight="false" outlineLevel="0" collapsed="false">
      <c r="A37" s="9" t="s">
        <v>144</v>
      </c>
      <c r="B37" s="8" t="n">
        <f aca="false">B22+B23+B24+B25+B26+B29+B30+B31+B33+B34+B35</f>
        <v>11750.1466824</v>
      </c>
      <c r="C37" s="8" t="n">
        <f aca="false">C22+C23+C24+C25+C26+C29+C30+C31+C33+C34+C35</f>
        <v>11869.528455504</v>
      </c>
      <c r="D37" s="8" t="n">
        <f aca="false">D22+D23+D24+D25+D26+D29+D30+D31+D33+D34+D35</f>
        <v>11984.4891157169</v>
      </c>
      <c r="E37" s="8" t="n">
        <f aca="false">E22+E23+E24+E25+E26+E29+E30+E31+E33+E34+E35</f>
        <v>12095.4562092778</v>
      </c>
      <c r="F37" s="8" t="n">
        <f aca="false">F22+F23+F24+F25+F26+F29+F30+F31+F33+F34+F35</f>
        <v>12202.8308962393</v>
      </c>
      <c r="G37" s="8" t="n">
        <f aca="false">G22+G23+G24+G25+G26+G29+G30+G31+G33+G34+G35</f>
        <v>12306.9899037618</v>
      </c>
      <c r="H37" s="8" t="n">
        <f aca="false">H22+H23+H24+H25+H26+H29+H30+H31+H33+H34+H35</f>
        <v>12408.2873458655</v>
      </c>
      <c r="I37" s="8" t="n">
        <f aca="false">I22+I23+I24+I25+I26+I29+I30+I31+I33+I34+I35</f>
        <v>12507.056419083</v>
      </c>
      <c r="J37" s="8" t="n">
        <f aca="false">J22+J23+J24+J25+J26+J29+J30+J31+J33+J34+J35</f>
        <v>12603.6109827981</v>
      </c>
      <c r="K37" s="8" t="n">
        <f aca="false">K22+K23+K24+K25+K26+K29+K30+K31+K33+K34+K35</f>
        <v>12698.2470324446</v>
      </c>
      <c r="L37" s="8" t="n">
        <f aca="false">L22+L23+L24+L25+L26+L29+L30+L31+L33+L34+L35</f>
        <v>12791.2440731692</v>
      </c>
      <c r="M37" s="8" t="n">
        <f aca="false">M22+M23+M24+M25+M26+M29+M30+M31+M33+M34+M35</f>
        <v>12882.8664010329</v>
      </c>
      <c r="N37" s="8" t="n">
        <f aca="false">N22+N23+N24+N25+N26+N29+N30+N31+N33+N34+N35</f>
        <v>12973.3642983358</v>
      </c>
      <c r="O37" s="8" t="n">
        <f aca="false">O22+O23+O24+O25+O26+O29+O30+O31+O33+O34+O35</f>
        <v>13062.9751491887</v>
      </c>
      <c r="P37" s="8" t="n">
        <f aca="false">P22+P23+P24+P25+P26+P29+P30+P31+P33+P34+P35</f>
        <v>13151.9244810339</v>
      </c>
      <c r="Q37" s="8" t="n">
        <f aca="false">Q22+Q23+Q24+Q25+Q26+Q29+Q30+Q31+Q33+Q34+Q35</f>
        <v>13240.4269374187</v>
      </c>
      <c r="R37" s="8" t="n">
        <f aca="false">R22+R23+R24+R25+R26+R29+R30+R31+R33+R34+R35</f>
        <v>13328.6871869582</v>
      </c>
      <c r="S37" s="8" t="n">
        <f aca="false">S22+S23+S24+S25+S26+S29+S30+S31+S33+S34+S35</f>
        <v>13416.9007730848</v>
      </c>
      <c r="T37" s="8" t="n">
        <f aca="false">T22+T23+T24+T25+T26+T29+T30+T31+T33+T34+T35</f>
        <v>13505.2549088589</v>
      </c>
      <c r="U37" s="8" t="n">
        <f aca="false">U22+U23+U24+U25+U26+U29+U30+U31+U33+U34+U35</f>
        <v>13593.9292208255</v>
      </c>
      <c r="V37" s="8" t="n">
        <f aca="false">V22+V23+V24+V25+V26+V29+V30+V31+V33+V34+V35</f>
        <v>13683.096445622</v>
      </c>
      <c r="W37" s="8" t="n">
        <f aca="false">W22+W23+W24+W25+W26+W29+W30+W31+W33+W34+W35</f>
        <v>13772.9230827904</v>
      </c>
      <c r="X37" s="8" t="n">
        <f aca="false">X22+X23+X24+X25+X26+X29+X30+X31+X33+X34+X35</f>
        <v>13863.5700070079</v>
      </c>
      <c r="Y37" s="8" t="n">
        <f aca="false">Y22+Y23+Y24+Y25+Y26+Y29+Y30+Y31+Y33+Y34+Y35</f>
        <v>13955.1930427305</v>
      </c>
    </row>
    <row r="38" customFormat="false" ht="15" hidden="false" customHeight="false" outlineLevel="0" collapsed="false">
      <c r="A38" s="9" t="s">
        <v>145</v>
      </c>
      <c r="B38" s="8" t="n">
        <f aca="false">B20-B37</f>
        <v>-11189.6878824</v>
      </c>
      <c r="C38" s="8" t="n">
        <f aca="false">C20-C37</f>
        <v>-10882.071207504</v>
      </c>
      <c r="D38" s="8" t="n">
        <f aca="false">D20-D37</f>
        <v>-10585.9363941569</v>
      </c>
      <c r="E38" s="8" t="n">
        <f aca="false">E20-E37</f>
        <v>-10300.1781728794</v>
      </c>
      <c r="F38" s="8" t="n">
        <f aca="false">F20-F37</f>
        <v>-10023.7595968808</v>
      </c>
      <c r="G38" s="8" t="n">
        <f aca="false">G20-G37</f>
        <v>-9755.7069880851</v>
      </c>
      <c r="H38" s="8" t="n">
        <f aca="false">H20-H37</f>
        <v>-9495.10522879472</v>
      </c>
      <c r="I38" s="8" t="n">
        <f aca="false">I20-I37</f>
        <v>-9241.09337455094</v>
      </c>
      <c r="J38" s="8" t="n">
        <f aca="false">J20-J37</f>
        <v>-8992.86056545737</v>
      </c>
      <c r="K38" s="8" t="n">
        <f aca="false">K20-K37</f>
        <v>-8749.6422148141</v>
      </c>
      <c r="L38" s="8" t="n">
        <f aca="false">L20-L37</f>
        <v>-8510.71645538403</v>
      </c>
      <c r="M38" s="8" t="n">
        <f aca="false">M20-M37</f>
        <v>-8275.40082498227</v>
      </c>
      <c r="N38" s="8" t="n">
        <f aca="false">N20-N37</f>
        <v>-8043.04917435288</v>
      </c>
      <c r="O38" s="8" t="n">
        <f aca="false">O20-O37</f>
        <v>-7813.04878148113</v>
      </c>
      <c r="P38" s="8" t="n">
        <f aca="false">P20-P37</f>
        <v>-7584.8176575904</v>
      </c>
      <c r="Q38" s="8" t="n">
        <f aca="false">Q20-Q37</f>
        <v>-7357.8020310964</v>
      </c>
      <c r="R38" s="8" t="n">
        <f aca="false">R20-R37</f>
        <v>-7131.4739967431</v>
      </c>
      <c r="S38" s="8" t="n">
        <f aca="false">S20-S37</f>
        <v>-6905.32931802924</v>
      </c>
      <c r="T38" s="8" t="n">
        <f aca="false">T20-T37</f>
        <v>-6678.88537185709</v>
      </c>
      <c r="U38" s="8" t="n">
        <f aca="false">U20-U37</f>
        <v>-6451.67922509969</v>
      </c>
      <c r="V38" s="8" t="n">
        <f aca="false">V20-V37</f>
        <v>-6223.26583349349</v>
      </c>
      <c r="W38" s="8" t="n">
        <f aca="false">W20-W37</f>
        <v>-5993.21635392424</v>
      </c>
      <c r="X38" s="8" t="n">
        <f aca="false">X20-X37</f>
        <v>-5761.1165617881</v>
      </c>
      <c r="Y38" s="8" t="n">
        <f aca="false">Y20-Y37</f>
        <v>-5526.56536568064</v>
      </c>
    </row>
    <row r="39" customFormat="false" ht="15" hidden="false" customHeight="false" outlineLevel="0" collapsed="false">
      <c r="A39" s="9" t="s">
        <v>146</v>
      </c>
      <c r="B39" s="8" t="n">
        <f aca="false">B38</f>
        <v>-11189.6878824</v>
      </c>
      <c r="C39" s="8" t="n">
        <f aca="false">B39+C38</f>
        <v>-22071.759089904</v>
      </c>
      <c r="D39" s="8" t="n">
        <f aca="false">C39+D38</f>
        <v>-32657.6954840609</v>
      </c>
      <c r="E39" s="8" t="n">
        <f aca="false">D39+E38</f>
        <v>-42957.8736569403</v>
      </c>
      <c r="F39" s="8" t="n">
        <f aca="false">E39+F38</f>
        <v>-52981.633253821</v>
      </c>
      <c r="G39" s="8" t="n">
        <f aca="false">F39+G38</f>
        <v>-62737.3402419061</v>
      </c>
      <c r="H39" s="8" t="n">
        <f aca="false">G39+H38</f>
        <v>-72232.4454707009</v>
      </c>
      <c r="I39" s="8" t="n">
        <f aca="false">H39+I38</f>
        <v>-81473.5388452518</v>
      </c>
      <c r="J39" s="8" t="n">
        <f aca="false">I39+J38</f>
        <v>-90466.3994107092</v>
      </c>
      <c r="K39" s="8" t="n">
        <f aca="false">J39+K38</f>
        <v>-99216.0416255233</v>
      </c>
      <c r="L39" s="8" t="n">
        <f aca="false">K39+L38</f>
        <v>-107726.758080907</v>
      </c>
      <c r="M39" s="8" t="n">
        <f aca="false">L39+M38</f>
        <v>-116002.15890589</v>
      </c>
      <c r="N39" s="8" t="n">
        <f aca="false">M39+N38</f>
        <v>-124045.208080242</v>
      </c>
      <c r="O39" s="8" t="n">
        <f aca="false">N39+O38</f>
        <v>-131858.256861724</v>
      </c>
      <c r="P39" s="8" t="n">
        <f aca="false">O39+P38</f>
        <v>-139443.074519314</v>
      </c>
      <c r="Q39" s="8" t="n">
        <f aca="false">P39+Q38</f>
        <v>-146800.87655041</v>
      </c>
      <c r="R39" s="8" t="n">
        <f aca="false">Q39+R38</f>
        <v>-153932.350547153</v>
      </c>
      <c r="S39" s="8" t="n">
        <f aca="false">R39+S38</f>
        <v>-160837.679865183</v>
      </c>
      <c r="T39" s="8" t="n">
        <f aca="false">S39+T38</f>
        <v>-167516.56523704</v>
      </c>
      <c r="U39" s="8" t="n">
        <f aca="false">T39+U38</f>
        <v>-173968.244462139</v>
      </c>
      <c r="V39" s="8" t="n">
        <f aca="false">U39+V38</f>
        <v>-180191.510295633</v>
      </c>
      <c r="W39" s="8" t="n">
        <f aca="false">V39+W38</f>
        <v>-186184.726649557</v>
      </c>
      <c r="X39" s="8" t="n">
        <f aca="false">W39+X38</f>
        <v>-191945.843211345</v>
      </c>
      <c r="Y39" s="8" t="n">
        <f aca="false">X39+Y38</f>
        <v>-197472.408577026</v>
      </c>
    </row>
    <row r="40" customFormat="false" ht="15" hidden="false" customHeight="false" outlineLevel="0" collapsed="false">
      <c r="A40" s="4" t="s">
        <v>147</v>
      </c>
      <c r="B40" s="17" t="n">
        <f aca="false">IF(B38&gt;=0,1,0)</f>
        <v>0</v>
      </c>
      <c r="C40" s="17" t="n">
        <f aca="false">IF(C38&gt;=0,1,0)</f>
        <v>0</v>
      </c>
      <c r="D40" s="17" t="n">
        <f aca="false">IF(D38&gt;=0,1,0)</f>
        <v>0</v>
      </c>
      <c r="E40" s="17" t="n">
        <f aca="false">IF(E38&gt;=0,1,0)</f>
        <v>0</v>
      </c>
      <c r="F40" s="17" t="n">
        <f aca="false">IF(F38&gt;=0,1,0)</f>
        <v>0</v>
      </c>
      <c r="G40" s="17" t="n">
        <f aca="false">IF(G38&gt;=0,1,0)</f>
        <v>0</v>
      </c>
      <c r="H40" s="17" t="n">
        <f aca="false">IF(H38&gt;=0,1,0)</f>
        <v>0</v>
      </c>
      <c r="I40" s="17" t="n">
        <f aca="false">IF(I38&gt;=0,1,0)</f>
        <v>0</v>
      </c>
      <c r="J40" s="17" t="n">
        <f aca="false">IF(J38&gt;=0,1,0)</f>
        <v>0</v>
      </c>
      <c r="K40" s="17" t="n">
        <f aca="false">IF(K38&gt;=0,1,0)</f>
        <v>0</v>
      </c>
      <c r="L40" s="17" t="n">
        <f aca="false">IF(L38&gt;=0,1,0)</f>
        <v>0</v>
      </c>
      <c r="M40" s="17" t="n">
        <f aca="false">IF(M38&gt;=0,1,0)</f>
        <v>0</v>
      </c>
      <c r="N40" s="17" t="n">
        <f aca="false">IF(N38&gt;=0,1,0)</f>
        <v>0</v>
      </c>
      <c r="O40" s="17" t="n">
        <f aca="false">IF(O38&gt;=0,1,0)</f>
        <v>0</v>
      </c>
      <c r="P40" s="17" t="n">
        <f aca="false">IF(P38&gt;=0,1,0)</f>
        <v>0</v>
      </c>
      <c r="Q40" s="17" t="n">
        <f aca="false">IF(Q38&gt;=0,1,0)</f>
        <v>0</v>
      </c>
      <c r="R40" s="17" t="n">
        <f aca="false">IF(R38&gt;=0,1,0)</f>
        <v>0</v>
      </c>
      <c r="S40" s="17" t="n">
        <f aca="false">IF(S38&gt;=0,1,0)</f>
        <v>0</v>
      </c>
      <c r="T40" s="17" t="n">
        <f aca="false">IF(T38&gt;=0,1,0)</f>
        <v>0</v>
      </c>
      <c r="U40" s="17" t="n">
        <f aca="false">IF(U38&gt;=0,1,0)</f>
        <v>0</v>
      </c>
      <c r="V40" s="17" t="n">
        <f aca="false">IF(V38&gt;=0,1,0)</f>
        <v>0</v>
      </c>
      <c r="W40" s="17" t="n">
        <f aca="false">IF(W38&gt;=0,1,0)</f>
        <v>0</v>
      </c>
      <c r="X40" s="17" t="n">
        <f aca="false">IF(X38&gt;=0,1,0)</f>
        <v>0</v>
      </c>
      <c r="Y40" s="17" t="n">
        <f aca="false">IF(Y38&gt;=0,1,0)</f>
        <v>0</v>
      </c>
    </row>
    <row r="41" customFormat="false" ht="15" hidden="false" customHeight="false" outlineLevel="0" collapsed="false">
      <c r="A41" s="4" t="s">
        <v>148</v>
      </c>
      <c r="B41" s="17" t="n">
        <f aca="false">IF(B39&gt;=0,1,0)</f>
        <v>0</v>
      </c>
      <c r="C41" s="17" t="n">
        <f aca="false">IF(C39&gt;=0,1,0)</f>
        <v>0</v>
      </c>
      <c r="D41" s="17" t="n">
        <f aca="false">IF(D39&gt;=0,1,0)</f>
        <v>0</v>
      </c>
      <c r="E41" s="17" t="n">
        <f aca="false">IF(E39&gt;=0,1,0)</f>
        <v>0</v>
      </c>
      <c r="F41" s="17" t="n">
        <f aca="false">IF(F39&gt;=0,1,0)</f>
        <v>0</v>
      </c>
      <c r="G41" s="17" t="n">
        <f aca="false">IF(G39&gt;=0,1,0)</f>
        <v>0</v>
      </c>
      <c r="H41" s="17" t="n">
        <f aca="false">IF(H39&gt;=0,1,0)</f>
        <v>0</v>
      </c>
      <c r="I41" s="17" t="n">
        <f aca="false">IF(I39&gt;=0,1,0)</f>
        <v>0</v>
      </c>
      <c r="J41" s="17" t="n">
        <f aca="false">IF(J39&gt;=0,1,0)</f>
        <v>0</v>
      </c>
      <c r="K41" s="17" t="n">
        <f aca="false">IF(K39&gt;=0,1,0)</f>
        <v>0</v>
      </c>
      <c r="L41" s="17" t="n">
        <f aca="false">IF(L39&gt;=0,1,0)</f>
        <v>0</v>
      </c>
      <c r="M41" s="17" t="n">
        <f aca="false">IF(M39&gt;=0,1,0)</f>
        <v>0</v>
      </c>
      <c r="N41" s="17" t="n">
        <f aca="false">IF(N39&gt;=0,1,0)</f>
        <v>0</v>
      </c>
      <c r="O41" s="17" t="n">
        <f aca="false">IF(O39&gt;=0,1,0)</f>
        <v>0</v>
      </c>
      <c r="P41" s="17" t="n">
        <f aca="false">IF(P39&gt;=0,1,0)</f>
        <v>0</v>
      </c>
      <c r="Q41" s="17" t="n">
        <f aca="false">IF(Q39&gt;=0,1,0)</f>
        <v>0</v>
      </c>
      <c r="R41" s="17" t="n">
        <f aca="false">IF(R39&gt;=0,1,0)</f>
        <v>0</v>
      </c>
      <c r="S41" s="17" t="n">
        <f aca="false">IF(S39&gt;=0,1,0)</f>
        <v>0</v>
      </c>
      <c r="T41" s="17" t="n">
        <f aca="false">IF(T39&gt;=0,1,0)</f>
        <v>0</v>
      </c>
      <c r="U41" s="17" t="n">
        <f aca="false">IF(U39&gt;=0,1,0)</f>
        <v>0</v>
      </c>
      <c r="V41" s="17" t="n">
        <f aca="false">IF(V39&gt;=0,1,0)</f>
        <v>0</v>
      </c>
      <c r="W41" s="17" t="n">
        <f aca="false">IF(W39&gt;=0,1,0)</f>
        <v>0</v>
      </c>
      <c r="X41" s="17" t="n">
        <f aca="false">IF(X39&gt;=0,1,0)</f>
        <v>0</v>
      </c>
      <c r="Y41" s="17" t="n">
        <f aca="false">IF(Y39&gt;=0,1,0)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Y4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4"/>
    <col collapsed="false" customWidth="true" hidden="false" outlineLevel="0" max="25" min="2" style="0" width="12"/>
  </cols>
  <sheetData>
    <row r="1" customFormat="false" ht="17.35" hidden="false" customHeight="false" outlineLevel="0" collapsed="false">
      <c r="A1" s="1" t="s">
        <v>149</v>
      </c>
    </row>
    <row r="3" customFormat="false" ht="15" hidden="false" customHeight="false" outlineLevel="0" collapsed="false">
      <c r="A3" s="3" t="s">
        <v>113</v>
      </c>
      <c r="B3" s="3" t="n">
        <v>1</v>
      </c>
      <c r="C3" s="3" t="n">
        <v>2</v>
      </c>
      <c r="D3" s="3" t="n">
        <v>3</v>
      </c>
      <c r="E3" s="3" t="n">
        <v>4</v>
      </c>
      <c r="F3" s="3" t="n">
        <v>5</v>
      </c>
      <c r="G3" s="3" t="n">
        <v>6</v>
      </c>
      <c r="H3" s="3" t="n">
        <v>7</v>
      </c>
      <c r="I3" s="3" t="n">
        <v>8</v>
      </c>
      <c r="J3" s="3" t="n">
        <v>9</v>
      </c>
      <c r="K3" s="3" t="n">
        <v>10</v>
      </c>
      <c r="L3" s="3" t="n">
        <v>11</v>
      </c>
      <c r="M3" s="3" t="n">
        <v>12</v>
      </c>
      <c r="N3" s="3" t="n">
        <v>13</v>
      </c>
      <c r="O3" s="3" t="n">
        <v>14</v>
      </c>
      <c r="P3" s="3" t="n">
        <v>15</v>
      </c>
      <c r="Q3" s="3" t="n">
        <v>16</v>
      </c>
      <c r="R3" s="3" t="n">
        <v>17</v>
      </c>
      <c r="S3" s="3" t="n">
        <v>18</v>
      </c>
      <c r="T3" s="3" t="n">
        <v>19</v>
      </c>
      <c r="U3" s="3" t="n">
        <v>20</v>
      </c>
      <c r="V3" s="3" t="n">
        <v>21</v>
      </c>
      <c r="W3" s="3" t="n">
        <v>22</v>
      </c>
      <c r="X3" s="3" t="n">
        <v>23</v>
      </c>
      <c r="Y3" s="3" t="n">
        <v>24</v>
      </c>
    </row>
    <row r="4" customFormat="false" ht="15" hidden="false" customHeight="false" outlineLevel="0" collapsed="false">
      <c r="A4" s="9" t="s">
        <v>114</v>
      </c>
    </row>
    <row r="5" customFormat="false" ht="15" hidden="false" customHeight="false" outlineLevel="0" collapsed="false">
      <c r="A5" s="4" t="s">
        <v>115</v>
      </c>
      <c r="B5" s="5" t="n">
        <f aca="false">Параметры!$C$39</f>
        <v>600</v>
      </c>
      <c r="C5" s="5" t="n">
        <f aca="false">B5*(1+Параметры!$C$40)</f>
        <v>636</v>
      </c>
      <c r="D5" s="5" t="n">
        <f aca="false">C5*(1+Параметры!$C$40)</f>
        <v>674.16</v>
      </c>
      <c r="E5" s="5" t="n">
        <f aca="false">D5*(1+Параметры!$C$40)</f>
        <v>714.6096</v>
      </c>
      <c r="F5" s="5" t="n">
        <f aca="false">E5*(1+Параметры!$C$40)</f>
        <v>757.486176</v>
      </c>
      <c r="G5" s="5" t="n">
        <f aca="false">F5*(1+Параметры!$C$40)</f>
        <v>802.93534656</v>
      </c>
      <c r="H5" s="5" t="n">
        <f aca="false">G5*(1+Параметры!$C$40)</f>
        <v>851.1114673536</v>
      </c>
      <c r="I5" s="5" t="n">
        <f aca="false">H5*(1+Параметры!$C$40)</f>
        <v>902.178155394816</v>
      </c>
      <c r="J5" s="5" t="n">
        <f aca="false">I5*(1+Параметры!$C$40)</f>
        <v>956.308844718505</v>
      </c>
      <c r="K5" s="5" t="n">
        <f aca="false">J5*(1+Параметры!$C$40)</f>
        <v>1013.68737540162</v>
      </c>
      <c r="L5" s="5" t="n">
        <f aca="false">K5*(1+Параметры!$C$40)</f>
        <v>1074.50861792571</v>
      </c>
      <c r="M5" s="5" t="n">
        <f aca="false">L5*(1+Параметры!$C$40)</f>
        <v>1138.97913500126</v>
      </c>
      <c r="N5" s="5" t="n">
        <f aca="false">M5*(1+Параметры!$C$40)</f>
        <v>1207.31788310133</v>
      </c>
      <c r="O5" s="5" t="n">
        <f aca="false">N5*(1+Параметры!$C$40)</f>
        <v>1279.75695608741</v>
      </c>
      <c r="P5" s="5" t="n">
        <f aca="false">O5*(1+Параметры!$C$40)</f>
        <v>1356.54237345266</v>
      </c>
      <c r="Q5" s="5" t="n">
        <f aca="false">P5*(1+Параметры!$C$40)</f>
        <v>1437.93491585982</v>
      </c>
      <c r="R5" s="5" t="n">
        <f aca="false">Q5*(1+Параметры!$C$40)</f>
        <v>1524.2110108114</v>
      </c>
      <c r="S5" s="5" t="n">
        <f aca="false">R5*(1+Параметры!$C$40)</f>
        <v>1615.66367146009</v>
      </c>
      <c r="T5" s="5" t="n">
        <f aca="false">S5*(1+Параметры!$C$40)</f>
        <v>1712.60349174769</v>
      </c>
      <c r="U5" s="5" t="n">
        <f aca="false">T5*(1+Параметры!$C$40)</f>
        <v>1815.35970125256</v>
      </c>
      <c r="V5" s="5" t="n">
        <f aca="false">U5*(1+Параметры!$C$40)</f>
        <v>1924.28128332771</v>
      </c>
      <c r="W5" s="5" t="n">
        <f aca="false">V5*(1+Параметры!$C$40)</f>
        <v>2039.73816032737</v>
      </c>
      <c r="X5" s="5" t="n">
        <f aca="false">W5*(1+Параметры!$C$40)</f>
        <v>2162.12244994701</v>
      </c>
      <c r="Y5" s="5" t="n">
        <f aca="false">X5*(1+Параметры!$C$40)</f>
        <v>2291.84979694384</v>
      </c>
    </row>
    <row r="6" customFormat="false" ht="15" hidden="false" customHeight="false" outlineLevel="0" collapsed="false">
      <c r="A6" s="4" t="s">
        <v>116</v>
      </c>
      <c r="B6" s="5" t="n">
        <f aca="false">IF(Параметры!$C$42&gt;0,Параметры!$C$41/Параметры!$C$42,0)</f>
        <v>600</v>
      </c>
      <c r="C6" s="5" t="n">
        <f aca="false">IF(Параметры!$C$42&gt;0,Параметры!$C$41/Параметры!$C$42,0)</f>
        <v>600</v>
      </c>
      <c r="D6" s="5" t="n">
        <f aca="false">IF(Параметры!$C$42&gt;0,Параметры!$C$41/Параметры!$C$42,0)</f>
        <v>600</v>
      </c>
      <c r="E6" s="5" t="n">
        <f aca="false">IF(Параметры!$C$42&gt;0,Параметры!$C$41/Параметры!$C$42,0)</f>
        <v>600</v>
      </c>
      <c r="F6" s="5" t="n">
        <f aca="false">IF(Параметры!$C$42&gt;0,Параметры!$C$41/Параметры!$C$42,0)</f>
        <v>600</v>
      </c>
      <c r="G6" s="5" t="n">
        <f aca="false">IF(Параметры!$C$42&gt;0,Параметры!$C$41/Параметры!$C$42,0)</f>
        <v>600</v>
      </c>
      <c r="H6" s="5" t="n">
        <f aca="false">IF(Параметры!$C$42&gt;0,Параметры!$C$41/Параметры!$C$42,0)</f>
        <v>600</v>
      </c>
      <c r="I6" s="5" t="n">
        <f aca="false">IF(Параметры!$C$42&gt;0,Параметры!$C$41/Параметры!$C$42,0)</f>
        <v>600</v>
      </c>
      <c r="J6" s="5" t="n">
        <f aca="false">IF(Параметры!$C$42&gt;0,Параметры!$C$41/Параметры!$C$42,0)</f>
        <v>600</v>
      </c>
      <c r="K6" s="5" t="n">
        <f aca="false">IF(Параметры!$C$42&gt;0,Параметры!$C$41/Параметры!$C$42,0)</f>
        <v>600</v>
      </c>
      <c r="L6" s="5" t="n">
        <f aca="false">IF(Параметры!$C$42&gt;0,Параметры!$C$41/Параметры!$C$42,0)</f>
        <v>600</v>
      </c>
      <c r="M6" s="5" t="n">
        <f aca="false">IF(Параметры!$C$42&gt;0,Параметры!$C$41/Параметры!$C$42,0)</f>
        <v>600</v>
      </c>
      <c r="N6" s="5" t="n">
        <f aca="false">IF(Параметры!$C$42&gt;0,Параметры!$C$41/Параметры!$C$42,0)</f>
        <v>600</v>
      </c>
      <c r="O6" s="5" t="n">
        <f aca="false">IF(Параметры!$C$42&gt;0,Параметры!$C$41/Параметры!$C$42,0)</f>
        <v>600</v>
      </c>
      <c r="P6" s="5" t="n">
        <f aca="false">IF(Параметры!$C$42&gt;0,Параметры!$C$41/Параметры!$C$42,0)</f>
        <v>600</v>
      </c>
      <c r="Q6" s="5" t="n">
        <f aca="false">IF(Параметры!$C$42&gt;0,Параметры!$C$41/Параметры!$C$42,0)</f>
        <v>600</v>
      </c>
      <c r="R6" s="5" t="n">
        <f aca="false">IF(Параметры!$C$42&gt;0,Параметры!$C$41/Параметры!$C$42,0)</f>
        <v>600</v>
      </c>
      <c r="S6" s="5" t="n">
        <f aca="false">IF(Параметры!$C$42&gt;0,Параметры!$C$41/Параметры!$C$42,0)</f>
        <v>600</v>
      </c>
      <c r="T6" s="5" t="n">
        <f aca="false">IF(Параметры!$C$42&gt;0,Параметры!$C$41/Параметры!$C$42,0)</f>
        <v>600</v>
      </c>
      <c r="U6" s="5" t="n">
        <f aca="false">IF(Параметры!$C$42&gt;0,Параметры!$C$41/Параметры!$C$42,0)</f>
        <v>600</v>
      </c>
      <c r="V6" s="5" t="n">
        <f aca="false">IF(Параметры!$C$42&gt;0,Параметры!$C$41/Параметры!$C$42,0)</f>
        <v>600</v>
      </c>
      <c r="W6" s="5" t="n">
        <f aca="false">IF(Параметры!$C$42&gt;0,Параметры!$C$41/Параметры!$C$42,0)</f>
        <v>600</v>
      </c>
      <c r="X6" s="5" t="n">
        <f aca="false">IF(Параметры!$C$42&gt;0,Параметры!$C$41/Параметры!$C$42,0)</f>
        <v>600</v>
      </c>
      <c r="Y6" s="5" t="n">
        <f aca="false">IF(Параметры!$C$42&gt;0,Параметры!$C$41/Параметры!$C$42,0)</f>
        <v>600</v>
      </c>
    </row>
    <row r="7" customFormat="false" ht="15" hidden="false" customHeight="false" outlineLevel="0" collapsed="false">
      <c r="A7" s="4" t="s">
        <v>117</v>
      </c>
      <c r="B7" s="17" t="n">
        <f aca="false">B5+B6</f>
        <v>1200</v>
      </c>
      <c r="C7" s="17" t="n">
        <f aca="false">C5+C6</f>
        <v>1236</v>
      </c>
      <c r="D7" s="17" t="n">
        <f aca="false">D5+D6</f>
        <v>1274.16</v>
      </c>
      <c r="E7" s="17" t="n">
        <f aca="false">E5+E6</f>
        <v>1314.6096</v>
      </c>
      <c r="F7" s="17" t="n">
        <f aca="false">F5+F6</f>
        <v>1357.486176</v>
      </c>
      <c r="G7" s="17" t="n">
        <f aca="false">G5+G6</f>
        <v>1402.93534656</v>
      </c>
      <c r="H7" s="17" t="n">
        <f aca="false">H5+H6</f>
        <v>1451.1114673536</v>
      </c>
      <c r="I7" s="17" t="n">
        <f aca="false">I5+I6</f>
        <v>1502.17815539482</v>
      </c>
      <c r="J7" s="17" t="n">
        <f aca="false">J5+J6</f>
        <v>1556.30884471851</v>
      </c>
      <c r="K7" s="17" t="n">
        <f aca="false">K5+K6</f>
        <v>1613.68737540162</v>
      </c>
      <c r="L7" s="17" t="n">
        <f aca="false">L5+L6</f>
        <v>1674.50861792571</v>
      </c>
      <c r="M7" s="17" t="n">
        <f aca="false">M5+M6</f>
        <v>1738.97913500126</v>
      </c>
      <c r="N7" s="17" t="n">
        <f aca="false">N5+N6</f>
        <v>1807.31788310133</v>
      </c>
      <c r="O7" s="17" t="n">
        <f aca="false">O5+O6</f>
        <v>1879.75695608741</v>
      </c>
      <c r="P7" s="17" t="n">
        <f aca="false">P5+P6</f>
        <v>1956.54237345266</v>
      </c>
      <c r="Q7" s="17" t="n">
        <f aca="false">Q5+Q6</f>
        <v>2037.93491585982</v>
      </c>
      <c r="R7" s="17" t="n">
        <f aca="false">R5+R6</f>
        <v>2124.2110108114</v>
      </c>
      <c r="S7" s="17" t="n">
        <f aca="false">S5+S6</f>
        <v>2215.66367146009</v>
      </c>
      <c r="T7" s="17" t="n">
        <f aca="false">T5+T6</f>
        <v>2312.60349174769</v>
      </c>
      <c r="U7" s="17" t="n">
        <f aca="false">U5+U6</f>
        <v>2415.35970125256</v>
      </c>
      <c r="V7" s="17" t="n">
        <f aca="false">V5+V6</f>
        <v>2524.28128332771</v>
      </c>
      <c r="W7" s="17" t="n">
        <f aca="false">W5+W6</f>
        <v>2639.73816032737</v>
      </c>
      <c r="X7" s="17" t="n">
        <f aca="false">X5+X6</f>
        <v>2762.12244994701</v>
      </c>
      <c r="Y7" s="17" t="n">
        <f aca="false">Y5+Y6</f>
        <v>2891.84979694384</v>
      </c>
    </row>
    <row r="8" customFormat="false" ht="15" hidden="false" customHeight="false" outlineLevel="0" collapsed="false">
      <c r="A8" s="4" t="s">
        <v>118</v>
      </c>
      <c r="B8" s="5" t="n">
        <f aca="false">B7*Параметры!$C$44</f>
        <v>48</v>
      </c>
      <c r="C8" s="5" t="n">
        <f aca="false">C7*Параметры!$C$44</f>
        <v>49.44</v>
      </c>
      <c r="D8" s="5" t="n">
        <f aca="false">D7*Параметры!$C$44</f>
        <v>50.9664</v>
      </c>
      <c r="E8" s="5" t="n">
        <f aca="false">E7*Параметры!$C$44</f>
        <v>52.584384</v>
      </c>
      <c r="F8" s="5" t="n">
        <f aca="false">F7*Параметры!$C$44</f>
        <v>54.29944704</v>
      </c>
      <c r="G8" s="5" t="n">
        <f aca="false">G7*Параметры!$C$44</f>
        <v>56.1174138624</v>
      </c>
      <c r="H8" s="5" t="n">
        <f aca="false">H7*Параметры!$C$44</f>
        <v>58.044458694144</v>
      </c>
      <c r="I8" s="5" t="n">
        <f aca="false">I7*Параметры!$C$44</f>
        <v>60.0871262157927</v>
      </c>
      <c r="J8" s="5" t="n">
        <f aca="false">J7*Параметры!$C$44</f>
        <v>62.2523537887402</v>
      </c>
      <c r="K8" s="5" t="n">
        <f aca="false">K7*Параметры!$C$44</f>
        <v>64.5474950160646</v>
      </c>
      <c r="L8" s="5" t="n">
        <f aca="false">L7*Параметры!$C$44</f>
        <v>66.9803447170285</v>
      </c>
      <c r="M8" s="5" t="n">
        <f aca="false">M7*Параметры!$C$44</f>
        <v>69.5591654000502</v>
      </c>
      <c r="N8" s="5" t="n">
        <f aca="false">N7*Параметры!$C$44</f>
        <v>72.2927153240533</v>
      </c>
      <c r="O8" s="5" t="n">
        <f aca="false">O7*Параметры!$C$44</f>
        <v>75.1902782434964</v>
      </c>
      <c r="P8" s="5" t="n">
        <f aca="false">P7*Параметры!$C$44</f>
        <v>78.2616949381062</v>
      </c>
      <c r="Q8" s="5" t="n">
        <f aca="false">Q7*Параметры!$C$44</f>
        <v>81.5173966343926</v>
      </c>
      <c r="R8" s="5" t="n">
        <f aca="false">R7*Параметры!$C$44</f>
        <v>84.9684404324562</v>
      </c>
      <c r="S8" s="5" t="n">
        <f aca="false">S7*Параметры!$C$44</f>
        <v>88.6265468584035</v>
      </c>
      <c r="T8" s="5" t="n">
        <f aca="false">T7*Параметры!$C$44</f>
        <v>92.5041396699077</v>
      </c>
      <c r="U8" s="5" t="n">
        <f aca="false">U7*Параметры!$C$44</f>
        <v>96.6143880501022</v>
      </c>
      <c r="V8" s="5" t="n">
        <f aca="false">V7*Параметры!$C$44</f>
        <v>100.971251333108</v>
      </c>
      <c r="W8" s="5" t="n">
        <f aca="false">W7*Параметры!$C$44</f>
        <v>105.589526413095</v>
      </c>
      <c r="X8" s="5" t="n">
        <f aca="false">X7*Параметры!$C$44</f>
        <v>110.484897997881</v>
      </c>
      <c r="Y8" s="5" t="n">
        <f aca="false">Y7*Параметры!$C$44</f>
        <v>115.673991877753</v>
      </c>
    </row>
    <row r="9" customFormat="false" ht="15" hidden="false" customHeight="false" outlineLevel="0" collapsed="false">
      <c r="A9" s="4" t="s">
        <v>119</v>
      </c>
      <c r="B9" s="5" t="n">
        <f aca="false">B8*Параметры!$C$45</f>
        <v>1.92</v>
      </c>
      <c r="C9" s="5" t="n">
        <f aca="false">C8*Параметры!$C$45</f>
        <v>1.9776</v>
      </c>
      <c r="D9" s="5" t="n">
        <f aca="false">D8*Параметры!$C$45</f>
        <v>2.038656</v>
      </c>
      <c r="E9" s="5" t="n">
        <f aca="false">E8*Параметры!$C$45</f>
        <v>2.10337536</v>
      </c>
      <c r="F9" s="5" t="n">
        <f aca="false">F8*Параметры!$C$45</f>
        <v>2.1719778816</v>
      </c>
      <c r="G9" s="5" t="n">
        <f aca="false">G8*Параметры!$C$45</f>
        <v>2.244696554496</v>
      </c>
      <c r="H9" s="5" t="n">
        <f aca="false">H8*Параметры!$C$45</f>
        <v>2.32177834776576</v>
      </c>
      <c r="I9" s="5" t="n">
        <f aca="false">I8*Параметры!$C$45</f>
        <v>2.40348504863171</v>
      </c>
      <c r="J9" s="5" t="n">
        <f aca="false">J8*Параметры!$C$45</f>
        <v>2.49009415154961</v>
      </c>
      <c r="K9" s="5" t="n">
        <f aca="false">K8*Параметры!$C$45</f>
        <v>2.58189980064259</v>
      </c>
      <c r="L9" s="5" t="n">
        <f aca="false">L8*Параметры!$C$45</f>
        <v>2.67921378868114</v>
      </c>
      <c r="M9" s="5" t="n">
        <f aca="false">M8*Параметры!$C$45</f>
        <v>2.78236661600201</v>
      </c>
      <c r="N9" s="5" t="n">
        <f aca="false">N8*Параметры!$C$45</f>
        <v>2.89170861296213</v>
      </c>
      <c r="O9" s="5" t="n">
        <f aca="false">O8*Параметры!$C$45</f>
        <v>3.00761112973986</v>
      </c>
      <c r="P9" s="5" t="n">
        <f aca="false">P8*Параметры!$C$45</f>
        <v>3.13046779752425</v>
      </c>
      <c r="Q9" s="5" t="n">
        <f aca="false">Q8*Параметры!$C$45</f>
        <v>3.2606958653757</v>
      </c>
      <c r="R9" s="5" t="n">
        <f aca="false">R8*Параметры!$C$45</f>
        <v>3.39873761729825</v>
      </c>
      <c r="S9" s="5" t="n">
        <f aca="false">S8*Параметры!$C$45</f>
        <v>3.54506187433614</v>
      </c>
      <c r="T9" s="5" t="n">
        <f aca="false">T8*Параметры!$C$45</f>
        <v>3.70016558679631</v>
      </c>
      <c r="U9" s="5" t="n">
        <f aca="false">U8*Параметры!$C$45</f>
        <v>3.86457552200409</v>
      </c>
      <c r="V9" s="5" t="n">
        <f aca="false">V8*Параметры!$C$45</f>
        <v>4.03885005332434</v>
      </c>
      <c r="W9" s="5" t="n">
        <f aca="false">W8*Параметры!$C$45</f>
        <v>4.2235810565238</v>
      </c>
      <c r="X9" s="5" t="n">
        <f aca="false">X8*Параметры!$C$45</f>
        <v>4.41939591991522</v>
      </c>
      <c r="Y9" s="5" t="n">
        <f aca="false">Y8*Параметры!$C$45</f>
        <v>4.62695967511014</v>
      </c>
    </row>
    <row r="10" customFormat="false" ht="15" hidden="false" customHeight="false" outlineLevel="0" collapsed="false">
      <c r="A10" s="4" t="s">
        <v>120</v>
      </c>
      <c r="B10" s="5" t="n">
        <f aca="false">B8*Параметры!$C$46</f>
        <v>1.44</v>
      </c>
      <c r="C10" s="5" t="n">
        <f aca="false">C8*Параметры!$C$46</f>
        <v>1.4832</v>
      </c>
      <c r="D10" s="5" t="n">
        <f aca="false">D8*Параметры!$C$46</f>
        <v>1.528992</v>
      </c>
      <c r="E10" s="5" t="n">
        <f aca="false">E8*Параметры!$C$46</f>
        <v>1.57753152</v>
      </c>
      <c r="F10" s="5" t="n">
        <f aca="false">F8*Параметры!$C$46</f>
        <v>1.6289834112</v>
      </c>
      <c r="G10" s="5" t="n">
        <f aca="false">G8*Параметры!$C$46</f>
        <v>1.683522415872</v>
      </c>
      <c r="H10" s="5" t="n">
        <f aca="false">H8*Параметры!$C$46</f>
        <v>1.74133376082432</v>
      </c>
      <c r="I10" s="5" t="n">
        <f aca="false">I8*Параметры!$C$46</f>
        <v>1.80261378647378</v>
      </c>
      <c r="J10" s="5" t="n">
        <f aca="false">J8*Параметры!$C$46</f>
        <v>1.86757061366221</v>
      </c>
      <c r="K10" s="5" t="n">
        <f aca="false">K8*Параметры!$C$46</f>
        <v>1.93642485048194</v>
      </c>
      <c r="L10" s="5" t="n">
        <f aca="false">L8*Параметры!$C$46</f>
        <v>2.00941034151086</v>
      </c>
      <c r="M10" s="5" t="n">
        <f aca="false">M8*Параметры!$C$46</f>
        <v>2.08677496200151</v>
      </c>
      <c r="N10" s="5" t="n">
        <f aca="false">N8*Параметры!$C$46</f>
        <v>2.1687814597216</v>
      </c>
      <c r="O10" s="5" t="n">
        <f aca="false">O8*Параметры!$C$46</f>
        <v>2.25570834730489</v>
      </c>
      <c r="P10" s="5" t="n">
        <f aca="false">P8*Параметры!$C$46</f>
        <v>2.34785084814319</v>
      </c>
      <c r="Q10" s="5" t="n">
        <f aca="false">Q8*Параметры!$C$46</f>
        <v>2.44552189903178</v>
      </c>
      <c r="R10" s="5" t="n">
        <f aca="false">R8*Параметры!$C$46</f>
        <v>2.54905321297368</v>
      </c>
      <c r="S10" s="5" t="n">
        <f aca="false">S8*Параметры!$C$46</f>
        <v>2.65879640575211</v>
      </c>
      <c r="T10" s="5" t="n">
        <f aca="false">T8*Параметры!$C$46</f>
        <v>2.77512419009723</v>
      </c>
      <c r="U10" s="5" t="n">
        <f aca="false">U8*Параметры!$C$46</f>
        <v>2.89843164150307</v>
      </c>
      <c r="V10" s="5" t="n">
        <f aca="false">V8*Параметры!$C$46</f>
        <v>3.02913753999325</v>
      </c>
      <c r="W10" s="5" t="n">
        <f aca="false">W8*Параметры!$C$46</f>
        <v>3.16768579239285</v>
      </c>
      <c r="X10" s="5" t="n">
        <f aca="false">X8*Параметры!$C$46</f>
        <v>3.31454693993642</v>
      </c>
      <c r="Y10" s="5" t="n">
        <f aca="false">Y8*Параметры!$C$46</f>
        <v>3.4702197563326</v>
      </c>
    </row>
    <row r="11" customFormat="false" ht="15" hidden="false" customHeight="false" outlineLevel="0" collapsed="false">
      <c r="A11" s="9" t="s">
        <v>121</v>
      </c>
    </row>
    <row r="12" customFormat="false" ht="15" hidden="false" customHeight="false" outlineLevel="0" collapsed="false">
      <c r="A12" s="4" t="s">
        <v>122</v>
      </c>
      <c r="B12" s="17" t="n">
        <f aca="false">0</f>
        <v>0</v>
      </c>
      <c r="C12" s="5" t="n">
        <f aca="false">B13*Параметры!$C$47</f>
        <v>0.096</v>
      </c>
      <c r="D12" s="5" t="n">
        <f aca="false">C13*Параметры!$C$47</f>
        <v>0.19008</v>
      </c>
      <c r="E12" s="5" t="n">
        <f aca="false">D13*Параметры!$C$47</f>
        <v>0.2825088</v>
      </c>
      <c r="F12" s="5" t="n">
        <f aca="false">E13*Параметры!$C$47</f>
        <v>0.373552128</v>
      </c>
      <c r="G12" s="5" t="n">
        <f aca="false">F13*Параметры!$C$47</f>
        <v>0.46347341568</v>
      </c>
      <c r="H12" s="5" t="n">
        <f aca="false">G13*Параметры!$C$47</f>
        <v>0.5525345726208</v>
      </c>
      <c r="I12" s="5" t="n">
        <f aca="false">H13*Параметры!$C$47</f>
        <v>0.640996761378048</v>
      </c>
      <c r="J12" s="5" t="n">
        <f aca="false">I13*Параметры!$C$47</f>
        <v>0.729121175740731</v>
      </c>
      <c r="K12" s="5" t="n">
        <f aca="false">J13*Параметры!$C$47</f>
        <v>0.817169824531175</v>
      </c>
      <c r="L12" s="5" t="n">
        <f aca="false">K13*Параметры!$C$47</f>
        <v>0.905406323336746</v>
      </c>
      <c r="M12" s="5" t="n">
        <f aca="false">L13*Параметры!$C$47</f>
        <v>0.994096696603966</v>
      </c>
      <c r="N12" s="5" t="n">
        <f aca="false">M13*Параметры!$C$47</f>
        <v>1.08351019257387</v>
      </c>
      <c r="O12" s="5" t="n">
        <f aca="false">N13*Параметры!$C$47</f>
        <v>1.17392011359328</v>
      </c>
      <c r="P12" s="5" t="n">
        <f aca="false">O13*Параметры!$C$47</f>
        <v>1.26560466440061</v>
      </c>
      <c r="Q12" s="5" t="n">
        <f aca="false">P13*Параметры!$C$47</f>
        <v>1.35884782105679</v>
      </c>
      <c r="R12" s="5" t="n">
        <f aca="false">Q13*Параметры!$C$47</f>
        <v>1.45394022327274</v>
      </c>
      <c r="S12" s="5" t="n">
        <f aca="false">R13*Параметры!$C$47</f>
        <v>1.55118009297401</v>
      </c>
      <c r="T12" s="5" t="n">
        <f aca="false">S13*Параметры!$C$47</f>
        <v>1.65087418204212</v>
      </c>
      <c r="U12" s="5" t="n">
        <f aca="false">T13*Параметры!$C$47</f>
        <v>1.75333875227983</v>
      </c>
      <c r="V12" s="5" t="n">
        <f aca="false">U13*Параметры!$C$47</f>
        <v>1.85890059076604</v>
      </c>
      <c r="W12" s="5" t="n">
        <f aca="false">V13*Параметры!$C$47</f>
        <v>1.96789806389396</v>
      </c>
      <c r="X12" s="5" t="n">
        <f aca="false">W13*Параметры!$C$47</f>
        <v>2.08068221352545</v>
      </c>
      <c r="Y12" s="5" t="n">
        <f aca="false">X13*Параметры!$C$47</f>
        <v>2.19761789884494</v>
      </c>
    </row>
    <row r="13" customFormat="false" ht="15" hidden="false" customHeight="false" outlineLevel="0" collapsed="false">
      <c r="A13" s="9" t="s">
        <v>123</v>
      </c>
      <c r="B13" s="17" t="n">
        <f aca="false">B9</f>
        <v>1.92</v>
      </c>
      <c r="C13" s="17" t="n">
        <f aca="false">B13+C9-C12</f>
        <v>3.8016</v>
      </c>
      <c r="D13" s="17" t="n">
        <f aca="false">C13+D9-D12</f>
        <v>5.650176</v>
      </c>
      <c r="E13" s="17" t="n">
        <f aca="false">D13+E9-E12</f>
        <v>7.47104256</v>
      </c>
      <c r="F13" s="17" t="n">
        <f aca="false">E13+F9-F12</f>
        <v>9.2694683136</v>
      </c>
      <c r="G13" s="17" t="n">
        <f aca="false">F13+G9-G12</f>
        <v>11.050691452416</v>
      </c>
      <c r="H13" s="17" t="n">
        <f aca="false">G13+H9-H12</f>
        <v>12.819935227561</v>
      </c>
      <c r="I13" s="17" t="n">
        <f aca="false">H13+I9-I12</f>
        <v>14.5824235148146</v>
      </c>
      <c r="J13" s="17" t="n">
        <f aca="false">I13+J9-J12</f>
        <v>16.3433964906235</v>
      </c>
      <c r="K13" s="17" t="n">
        <f aca="false">J13+K9-K12</f>
        <v>18.1081264667349</v>
      </c>
      <c r="L13" s="17" t="n">
        <f aca="false">K13+L9-L12</f>
        <v>19.8819339320793</v>
      </c>
      <c r="M13" s="17" t="n">
        <f aca="false">L13+M9-M12</f>
        <v>21.6702038514774</v>
      </c>
      <c r="N13" s="17" t="n">
        <f aca="false">M13+N9-N12</f>
        <v>23.4784022718656</v>
      </c>
      <c r="O13" s="17" t="n">
        <f aca="false">N13+O9-O12</f>
        <v>25.3120932880122</v>
      </c>
      <c r="P13" s="17" t="n">
        <f aca="false">O13+P9-P12</f>
        <v>27.1769564211358</v>
      </c>
      <c r="Q13" s="17" t="n">
        <f aca="false">P13+Q9-Q12</f>
        <v>29.0788044654548</v>
      </c>
      <c r="R13" s="17" t="n">
        <f aca="false">Q13+R9-R12</f>
        <v>31.0236018594803</v>
      </c>
      <c r="S13" s="17" t="n">
        <f aca="false">R13+S9-S12</f>
        <v>33.0174836408424</v>
      </c>
      <c r="T13" s="17" t="n">
        <f aca="false">S13+T9-T12</f>
        <v>35.0667750455966</v>
      </c>
      <c r="U13" s="17" t="n">
        <f aca="false">T13+U9-U12</f>
        <v>37.1780118153208</v>
      </c>
      <c r="V13" s="17" t="n">
        <f aca="false">U13+V9-V12</f>
        <v>39.3579612778791</v>
      </c>
      <c r="W13" s="17" t="n">
        <f aca="false">V13+W9-W12</f>
        <v>41.613644270509</v>
      </c>
      <c r="X13" s="17" t="n">
        <f aca="false">W13+X9-X12</f>
        <v>43.9523579768987</v>
      </c>
      <c r="Y13" s="17" t="n">
        <f aca="false">X13+Y9-Y12</f>
        <v>46.3816997531639</v>
      </c>
    </row>
    <row r="14" customFormat="false" ht="15" hidden="false" customHeight="false" outlineLevel="0" collapsed="false">
      <c r="A14" s="4" t="s">
        <v>124</v>
      </c>
      <c r="B14" s="5" t="n">
        <f aca="false">B13*Параметры!$C$49</f>
        <v>1.344</v>
      </c>
      <c r="C14" s="5" t="n">
        <f aca="false">C13*Параметры!$C$49</f>
        <v>2.66112</v>
      </c>
      <c r="D14" s="5" t="n">
        <f aca="false">D13*Параметры!$C$49</f>
        <v>3.9551232</v>
      </c>
      <c r="E14" s="5" t="n">
        <f aca="false">E13*Параметры!$C$49</f>
        <v>5.229729792</v>
      </c>
      <c r="F14" s="5" t="n">
        <f aca="false">F13*Параметры!$C$49</f>
        <v>6.48862781952</v>
      </c>
      <c r="G14" s="5" t="n">
        <f aca="false">G13*Параметры!$C$49</f>
        <v>7.7354840166912</v>
      </c>
      <c r="H14" s="5" t="n">
        <f aca="false">H13*Параметры!$C$49</f>
        <v>8.97395465929267</v>
      </c>
      <c r="I14" s="5" t="n">
        <f aca="false">I13*Параметры!$C$49</f>
        <v>10.2076964603702</v>
      </c>
      <c r="J14" s="5" t="n">
        <f aca="false">J13*Параметры!$C$49</f>
        <v>11.4403775434365</v>
      </c>
      <c r="K14" s="5" t="n">
        <f aca="false">K13*Параметры!$C$49</f>
        <v>12.6756885267144</v>
      </c>
      <c r="L14" s="5" t="n">
        <f aca="false">L13*Параметры!$C$49</f>
        <v>13.9173537524555</v>
      </c>
      <c r="M14" s="5" t="n">
        <f aca="false">M13*Параметры!$C$49</f>
        <v>15.1691426960341</v>
      </c>
      <c r="N14" s="5" t="n">
        <f aca="false">N13*Параметры!$C$49</f>
        <v>16.4348815903059</v>
      </c>
      <c r="O14" s="5" t="n">
        <f aca="false">O13*Параметры!$C$49</f>
        <v>17.7184653016085</v>
      </c>
      <c r="P14" s="5" t="n">
        <f aca="false">P13*Параметры!$C$49</f>
        <v>19.0238694947951</v>
      </c>
      <c r="Q14" s="5" t="n">
        <f aca="false">Q13*Параметры!$C$49</f>
        <v>20.3551631258183</v>
      </c>
      <c r="R14" s="5" t="n">
        <f aca="false">R13*Параметры!$C$49</f>
        <v>21.7165213016362</v>
      </c>
      <c r="S14" s="5" t="n">
        <f aca="false">S13*Параметры!$C$49</f>
        <v>23.1122385485897</v>
      </c>
      <c r="T14" s="5" t="n">
        <f aca="false">T13*Параметры!$C$49</f>
        <v>24.5467425319176</v>
      </c>
      <c r="U14" s="5" t="n">
        <f aca="false">U13*Параметры!$C$49</f>
        <v>26.0246082707246</v>
      </c>
      <c r="V14" s="5" t="n">
        <f aca="false">V13*Параметры!$C$49</f>
        <v>27.5505728945154</v>
      </c>
      <c r="W14" s="5" t="n">
        <f aca="false">W13*Параметры!$C$49</f>
        <v>29.1295509893563</v>
      </c>
      <c r="X14" s="5" t="n">
        <f aca="false">X13*Параметры!$C$49</f>
        <v>30.7666505838291</v>
      </c>
      <c r="Y14" s="5" t="n">
        <f aca="false">Y13*Параметры!$C$49</f>
        <v>32.4671898272148</v>
      </c>
    </row>
    <row r="15" customFormat="false" ht="15" hidden="false" customHeight="false" outlineLevel="0" collapsed="false">
      <c r="A15" s="4" t="s">
        <v>125</v>
      </c>
      <c r="B15" s="5" t="n">
        <f aca="false">B13*Параметры!$C$50</f>
        <v>0.4608</v>
      </c>
      <c r="C15" s="5" t="n">
        <f aca="false">C13*Параметры!$C$50</f>
        <v>0.912384</v>
      </c>
      <c r="D15" s="5" t="n">
        <f aca="false">D13*Параметры!$C$50</f>
        <v>1.35604224</v>
      </c>
      <c r="E15" s="5" t="n">
        <f aca="false">E13*Параметры!$C$50</f>
        <v>1.7930502144</v>
      </c>
      <c r="F15" s="5" t="n">
        <f aca="false">F13*Параметры!$C$50</f>
        <v>2.224672395264</v>
      </c>
      <c r="G15" s="5" t="n">
        <f aca="false">G13*Параметры!$C$50</f>
        <v>2.65216594857984</v>
      </c>
      <c r="H15" s="5" t="n">
        <f aca="false">H13*Параметры!$C$50</f>
        <v>3.07678445461463</v>
      </c>
      <c r="I15" s="5" t="n">
        <f aca="false">I13*Параметры!$C$50</f>
        <v>3.49978164355551</v>
      </c>
      <c r="J15" s="5" t="n">
        <f aca="false">J13*Параметры!$C$50</f>
        <v>3.92241515774964</v>
      </c>
      <c r="K15" s="5" t="n">
        <f aca="false">K13*Параметры!$C$50</f>
        <v>4.34595035201638</v>
      </c>
      <c r="L15" s="5" t="n">
        <f aca="false">L13*Параметры!$C$50</f>
        <v>4.77166414369903</v>
      </c>
      <c r="M15" s="5" t="n">
        <f aca="false">M13*Параметры!$C$50</f>
        <v>5.20084892435457</v>
      </c>
      <c r="N15" s="5" t="n">
        <f aca="false">N13*Параметры!$C$50</f>
        <v>5.63481654524775</v>
      </c>
      <c r="O15" s="5" t="n">
        <f aca="false">O13*Параметры!$C$50</f>
        <v>6.07490238912293</v>
      </c>
      <c r="P15" s="5" t="n">
        <f aca="false">P13*Параметры!$C$50</f>
        <v>6.5224695410726</v>
      </c>
      <c r="Q15" s="5" t="n">
        <f aca="false">Q13*Параметры!$C$50</f>
        <v>6.97891307170914</v>
      </c>
      <c r="R15" s="5" t="n">
        <f aca="false">R13*Параметры!$C$50</f>
        <v>7.44566444627526</v>
      </c>
      <c r="S15" s="5" t="n">
        <f aca="false">S13*Параметры!$C$50</f>
        <v>7.92419607380217</v>
      </c>
      <c r="T15" s="5" t="n">
        <f aca="false">T13*Параметры!$C$50</f>
        <v>8.41602601094318</v>
      </c>
      <c r="U15" s="5" t="n">
        <f aca="false">U13*Параметры!$C$50</f>
        <v>8.922722835677</v>
      </c>
      <c r="V15" s="5" t="n">
        <f aca="false">V13*Параметры!$C$50</f>
        <v>9.44591070669099</v>
      </c>
      <c r="W15" s="5" t="n">
        <f aca="false">W13*Параметры!$C$50</f>
        <v>9.98727462492215</v>
      </c>
      <c r="X15" s="5" t="n">
        <f aca="false">X13*Параметры!$C$50</f>
        <v>10.5485659144557</v>
      </c>
      <c r="Y15" s="5" t="n">
        <f aca="false">Y13*Параметры!$C$50</f>
        <v>11.1316079407593</v>
      </c>
    </row>
    <row r="16" customFormat="false" ht="15" hidden="false" customHeight="false" outlineLevel="0" collapsed="false">
      <c r="A16" s="4" t="s">
        <v>126</v>
      </c>
      <c r="B16" s="5" t="n">
        <f aca="false">B13*Параметры!$C$51</f>
        <v>0.1152</v>
      </c>
      <c r="C16" s="5" t="n">
        <f aca="false">C13*Параметры!$C$51</f>
        <v>0.228096</v>
      </c>
      <c r="D16" s="5" t="n">
        <f aca="false">D13*Параметры!$C$51</f>
        <v>0.33901056</v>
      </c>
      <c r="E16" s="5" t="n">
        <f aca="false">E13*Параметры!$C$51</f>
        <v>0.4482625536</v>
      </c>
      <c r="F16" s="5" t="n">
        <f aca="false">F13*Параметры!$C$51</f>
        <v>0.556168098816</v>
      </c>
      <c r="G16" s="5" t="n">
        <f aca="false">G13*Параметры!$C$51</f>
        <v>0.66304148714496</v>
      </c>
      <c r="H16" s="5" t="n">
        <f aca="false">H13*Параметры!$C$51</f>
        <v>0.769196113653658</v>
      </c>
      <c r="I16" s="5" t="n">
        <f aca="false">I13*Параметры!$C$51</f>
        <v>0.874945410888877</v>
      </c>
      <c r="J16" s="5" t="n">
        <f aca="false">J13*Параметры!$C$51</f>
        <v>0.98060378943741</v>
      </c>
      <c r="K16" s="5" t="n">
        <f aca="false">K13*Параметры!$C$51</f>
        <v>1.08648758800409</v>
      </c>
      <c r="L16" s="5" t="n">
        <f aca="false">L13*Параметры!$C$51</f>
        <v>1.19291603592476</v>
      </c>
      <c r="M16" s="5" t="n">
        <f aca="false">M13*Параметры!$C$51</f>
        <v>1.30021223108864</v>
      </c>
      <c r="N16" s="5" t="n">
        <f aca="false">N13*Параметры!$C$51</f>
        <v>1.40870413631194</v>
      </c>
      <c r="O16" s="5" t="n">
        <f aca="false">O13*Параметры!$C$51</f>
        <v>1.51872559728073</v>
      </c>
      <c r="P16" s="5" t="n">
        <f aca="false">P13*Параметры!$C$51</f>
        <v>1.63061738526815</v>
      </c>
      <c r="Q16" s="5" t="n">
        <f aca="false">Q13*Параметры!$C$51</f>
        <v>1.74472826792728</v>
      </c>
      <c r="R16" s="5" t="n">
        <f aca="false">R13*Параметры!$C$51</f>
        <v>1.86141611156882</v>
      </c>
      <c r="S16" s="5" t="n">
        <f aca="false">S13*Параметры!$C$51</f>
        <v>1.98104901845054</v>
      </c>
      <c r="T16" s="5" t="n">
        <f aca="false">T13*Параметры!$C$51</f>
        <v>2.1040065027358</v>
      </c>
      <c r="U16" s="5" t="n">
        <f aca="false">U13*Параметры!$C$51</f>
        <v>2.23068070891925</v>
      </c>
      <c r="V16" s="5" t="n">
        <f aca="false">V13*Параметры!$C$51</f>
        <v>2.36147767667275</v>
      </c>
      <c r="W16" s="5" t="n">
        <f aca="false">W13*Параметры!$C$51</f>
        <v>2.49681865623054</v>
      </c>
      <c r="X16" s="5" t="n">
        <f aca="false">X13*Параметры!$C$51</f>
        <v>2.63714147861392</v>
      </c>
      <c r="Y16" s="5" t="n">
        <f aca="false">Y13*Параметры!$C$51</f>
        <v>2.78290198518984</v>
      </c>
    </row>
    <row r="17" customFormat="false" ht="15" hidden="false" customHeight="false" outlineLevel="0" collapsed="false">
      <c r="A17" s="9" t="s">
        <v>127</v>
      </c>
    </row>
    <row r="18" customFormat="false" ht="15" hidden="false" customHeight="false" outlineLevel="0" collapsed="false">
      <c r="A18" s="4" t="s">
        <v>128</v>
      </c>
      <c r="B18" s="6" t="n">
        <f aca="false">B14*Параметры!$C$6+B15*Параметры!$C$7+B16*Параметры!$C$8</f>
        <v>6460.032</v>
      </c>
      <c r="C18" s="6" t="n">
        <f aca="false">C14*Параметры!$C$6+C15*Параметры!$C$7+C16*Параметры!$C$8</f>
        <v>12790.86336</v>
      </c>
      <c r="D18" s="6" t="n">
        <f aca="false">D14*Параметры!$C$6+D15*Параметры!$C$7+D16*Параметры!$C$8</f>
        <v>19010.5821696</v>
      </c>
      <c r="E18" s="6" t="n">
        <f aca="false">E14*Параметры!$C$6+E15*Параметры!$C$7+E16*Параметры!$C$8</f>
        <v>25137.069797376</v>
      </c>
      <c r="F18" s="6" t="n">
        <f aca="false">F14*Параметры!$C$6+F15*Параметры!$C$7+F16*Параметры!$C$8</f>
        <v>31188.0530879386</v>
      </c>
      <c r="G18" s="6" t="n">
        <f aca="false">G14*Параметры!$C$6+G15*Параметры!$C$7+G16*Параметры!$C$8</f>
        <v>37181.1564607989</v>
      </c>
      <c r="H18" s="6" t="n">
        <f aca="false">H14*Параметры!$C$6+H15*Параметры!$C$7+H16*Параметры!$C$8</f>
        <v>43133.9540666516</v>
      </c>
      <c r="I18" s="6" t="n">
        <f aca="false">I14*Параметры!$C$6+I15*Параметры!$C$7+I16*Параметры!$C$8</f>
        <v>49064.0221579453</v>
      </c>
      <c r="J18" s="6" t="n">
        <f aca="false">J14*Параметры!$C$6+J15*Параметры!$C$7+J16*Параметры!$C$8</f>
        <v>54988.9918323518</v>
      </c>
      <c r="K18" s="6" t="n">
        <f aca="false">K14*Параметры!$C$6+K15*Параметры!$C$7+K16*Параметры!$C$8</f>
        <v>60926.6023099763</v>
      </c>
      <c r="L18" s="6" t="n">
        <f aca="false">L14*Параметры!$C$6+L15*Параметры!$C$7+L16*Параметры!$C$8</f>
        <v>66894.754907874</v>
      </c>
      <c r="M18" s="6" t="n">
        <f aca="false">M14*Параметры!$C$6+M15*Параметры!$C$7+M16*Параметры!$C$8</f>
        <v>72911.5678786807</v>
      </c>
      <c r="N18" s="6" t="n">
        <f aca="false">N14*Параметры!$C$6+N15*Параметры!$C$7+N16*Параметры!$C$8</f>
        <v>78995.432283919</v>
      </c>
      <c r="O18" s="6" t="n">
        <f aca="false">O14*Параметры!$C$6+O15*Параметры!$C$7+O16*Параметры!$C$8</f>
        <v>85165.0690768458</v>
      </c>
      <c r="P18" s="6" t="n">
        <f aca="false">P14*Параметры!$C$6+P15*Параметры!$C$7+P16*Параметры!$C$8</f>
        <v>91439.5875745536</v>
      </c>
      <c r="Q18" s="6" t="n">
        <f aca="false">Q14*Параметры!$C$6+Q15*Параметры!$C$7+Q16*Параметры!$C$8</f>
        <v>97838.545504469</v>
      </c>
      <c r="R18" s="6" t="n">
        <f aca="false">R14*Параметры!$C$6+R15*Параметры!$C$7+R16*Параметры!$C$8</f>
        <v>104382.010816407</v>
      </c>
      <c r="S18" s="6" t="n">
        <f aca="false">S14*Параметры!$C$6+S15*Параметры!$C$7+S16*Параметры!$C$8</f>
        <v>111090.625457978</v>
      </c>
      <c r="T18" s="6" t="n">
        <f aca="false">T14*Параметры!$C$6+T15*Параметры!$C$7+T16*Параметры!$C$8</f>
        <v>117985.671318414</v>
      </c>
      <c r="U18" s="6" t="n">
        <f aca="false">U14*Параметры!$C$6+U15*Параметры!$C$7+U16*Параметры!$C$8</f>
        <v>125089.138553828</v>
      </c>
      <c r="V18" s="6" t="n">
        <f aca="false">V14*Параметры!$C$6+V15*Параметры!$C$7+V16*Параметры!$C$8</f>
        <v>132423.796515552</v>
      </c>
      <c r="W18" s="6" t="n">
        <f aca="false">W14*Параметры!$C$6+W15*Параметры!$C$7+W16*Параметры!$C$8</f>
        <v>140013.267512554</v>
      </c>
      <c r="X18" s="6" t="n">
        <f aca="false">X14*Параметры!$C$6+X15*Параметры!$C$7+X16*Параметры!$C$8</f>
        <v>147882.103649074</v>
      </c>
      <c r="Y18" s="6" t="n">
        <f aca="false">Y14*Параметры!$C$6+Y15*Параметры!$C$7+Y16*Параметры!$C$8</f>
        <v>156055.866989495</v>
      </c>
    </row>
    <row r="19" customFormat="false" ht="15" hidden="false" customHeight="false" outlineLevel="0" collapsed="false">
      <c r="A19" s="4" t="s">
        <v>120</v>
      </c>
      <c r="B19" s="6" t="n">
        <f aca="false">B10*Параметры!$C$9</f>
        <v>2865.6</v>
      </c>
      <c r="C19" s="6" t="n">
        <f aca="false">C10*Параметры!$C$9</f>
        <v>2951.568</v>
      </c>
      <c r="D19" s="6" t="n">
        <f aca="false">D10*Параметры!$C$9</f>
        <v>3042.69408</v>
      </c>
      <c r="E19" s="6" t="n">
        <f aca="false">E10*Параметры!$C$9</f>
        <v>3139.2877248</v>
      </c>
      <c r="F19" s="6" t="n">
        <f aca="false">F10*Параметры!$C$9</f>
        <v>3241.676988288</v>
      </c>
      <c r="G19" s="6" t="n">
        <f aca="false">G10*Параметры!$C$9</f>
        <v>3350.20960758528</v>
      </c>
      <c r="H19" s="6" t="n">
        <f aca="false">H10*Параметры!$C$9</f>
        <v>3465.2541840404</v>
      </c>
      <c r="I19" s="6" t="n">
        <f aca="false">I10*Параметры!$C$9</f>
        <v>3587.20143508282</v>
      </c>
      <c r="J19" s="6" t="n">
        <f aca="false">J10*Параметры!$C$9</f>
        <v>3716.46552118779</v>
      </c>
      <c r="K19" s="6" t="n">
        <f aca="false">K10*Параметры!$C$9</f>
        <v>3853.48545245906</v>
      </c>
      <c r="L19" s="6" t="n">
        <f aca="false">L10*Параметры!$C$9</f>
        <v>3998.7265796066</v>
      </c>
      <c r="M19" s="6" t="n">
        <f aca="false">M10*Параметры!$C$9</f>
        <v>4152.682174383</v>
      </c>
      <c r="N19" s="6" t="n">
        <f aca="false">N10*Параметры!$C$9</f>
        <v>4315.87510484598</v>
      </c>
      <c r="O19" s="6" t="n">
        <f aca="false">O10*Параметры!$C$9</f>
        <v>4488.85961113674</v>
      </c>
      <c r="P19" s="6" t="n">
        <f aca="false">P10*Параметры!$C$9</f>
        <v>4672.22318780494</v>
      </c>
      <c r="Q19" s="6" t="n">
        <f aca="false">Q10*Параметры!$C$9</f>
        <v>4866.58857907324</v>
      </c>
      <c r="R19" s="6" t="n">
        <f aca="false">R10*Параметры!$C$9</f>
        <v>5072.61589381763</v>
      </c>
      <c r="S19" s="6" t="n">
        <f aca="false">S10*Параметры!$C$9</f>
        <v>5291.00484744669</v>
      </c>
      <c r="T19" s="6" t="n">
        <f aca="false">T10*Параметры!$C$9</f>
        <v>5522.49713829349</v>
      </c>
      <c r="U19" s="6" t="n">
        <f aca="false">U10*Параметры!$C$9</f>
        <v>5767.8789665911</v>
      </c>
      <c r="V19" s="6" t="n">
        <f aca="false">V10*Параметры!$C$9</f>
        <v>6027.98370458657</v>
      </c>
      <c r="W19" s="6" t="n">
        <f aca="false">W10*Параметры!$C$9</f>
        <v>6303.69472686176</v>
      </c>
      <c r="X19" s="6" t="n">
        <f aca="false">X10*Параметры!$C$9</f>
        <v>6595.94841047347</v>
      </c>
      <c r="Y19" s="6" t="n">
        <f aca="false">Y10*Параметры!$C$9</f>
        <v>6905.73731510188</v>
      </c>
    </row>
    <row r="20" customFormat="false" ht="15" hidden="false" customHeight="false" outlineLevel="0" collapsed="false">
      <c r="A20" s="9" t="s">
        <v>129</v>
      </c>
      <c r="B20" s="8" t="n">
        <f aca="false">B18+B19</f>
        <v>9325.632</v>
      </c>
      <c r="C20" s="8" t="n">
        <f aca="false">C18+C19</f>
        <v>15742.43136</v>
      </c>
      <c r="D20" s="8" t="n">
        <f aca="false">D18+D19</f>
        <v>22053.2762496</v>
      </c>
      <c r="E20" s="8" t="n">
        <f aca="false">E18+E19</f>
        <v>28276.357522176</v>
      </c>
      <c r="F20" s="8" t="n">
        <f aca="false">F18+F19</f>
        <v>34429.7300762266</v>
      </c>
      <c r="G20" s="8" t="n">
        <f aca="false">G18+G19</f>
        <v>40531.3660683842</v>
      </c>
      <c r="H20" s="8" t="n">
        <f aca="false">H18+H19</f>
        <v>46599.208250692</v>
      </c>
      <c r="I20" s="8" t="n">
        <f aca="false">I18+I19</f>
        <v>52651.2235930281</v>
      </c>
      <c r="J20" s="8" t="n">
        <f aca="false">J18+J19</f>
        <v>58705.4573535396</v>
      </c>
      <c r="K20" s="8" t="n">
        <f aca="false">K18+K19</f>
        <v>64780.0877624353</v>
      </c>
      <c r="L20" s="8" t="n">
        <f aca="false">L18+L19</f>
        <v>70893.4814874807</v>
      </c>
      <c r="M20" s="8" t="n">
        <f aca="false">M18+M19</f>
        <v>77064.2500530637</v>
      </c>
      <c r="N20" s="8" t="n">
        <f aca="false">N18+N19</f>
        <v>83311.307388765</v>
      </c>
      <c r="O20" s="8" t="n">
        <f aca="false">O18+O19</f>
        <v>89653.9286879826</v>
      </c>
      <c r="P20" s="8" t="n">
        <f aca="false">P18+P19</f>
        <v>96111.8107623586</v>
      </c>
      <c r="Q20" s="8" t="n">
        <f aca="false">Q18+Q19</f>
        <v>102705.134083542</v>
      </c>
      <c r="R20" s="8" t="n">
        <f aca="false">R18+R19</f>
        <v>109454.626710225</v>
      </c>
      <c r="S20" s="8" t="n">
        <f aca="false">S18+S19</f>
        <v>116381.630305425</v>
      </c>
      <c r="T20" s="8" t="n">
        <f aca="false">T18+T19</f>
        <v>123508.168456708</v>
      </c>
      <c r="U20" s="8" t="n">
        <f aca="false">U18+U19</f>
        <v>130857.01752042</v>
      </c>
      <c r="V20" s="8" t="n">
        <f aca="false">V18+V19</f>
        <v>138451.780220139</v>
      </c>
      <c r="W20" s="8" t="n">
        <f aca="false">W18+W19</f>
        <v>146316.962239416</v>
      </c>
      <c r="X20" s="8" t="n">
        <f aca="false">X18+X19</f>
        <v>154478.052059547</v>
      </c>
      <c r="Y20" s="8" t="n">
        <f aca="false">Y18+Y19</f>
        <v>162961.604304597</v>
      </c>
    </row>
    <row r="21" customFormat="false" ht="15" hidden="false" customHeight="false" outlineLevel="0" collapsed="false">
      <c r="A21" s="9" t="s">
        <v>130</v>
      </c>
    </row>
    <row r="22" customFormat="false" ht="15" hidden="false" customHeight="false" outlineLevel="0" collapsed="false">
      <c r="A22" s="4" t="s">
        <v>131</v>
      </c>
      <c r="B22" s="6" t="n">
        <f aca="false">(B14*Параметры!$C$11+B15*Параметры!$C$12+B16*Параметры!$C$13)*Параметры!$C$16</f>
        <v>856.14336</v>
      </c>
      <c r="C22" s="6" t="n">
        <f aca="false">(C14*Параметры!$C$11+C15*Параметры!$C$12+C16*Параметры!$C$13)*Параметры!$C$16</f>
        <v>1695.1638528</v>
      </c>
      <c r="D22" s="6" t="n">
        <f aca="false">(D14*Параметры!$C$11+D15*Параметры!$C$12+D16*Параметры!$C$13)*Параметры!$C$16</f>
        <v>2519.458679808</v>
      </c>
      <c r="E22" s="6" t="n">
        <f aca="false">(E14*Параметры!$C$11+E15*Параметры!$C$12+E16*Параметры!$C$13)*Параметры!$C$16</f>
        <v>3331.39764584448</v>
      </c>
      <c r="F22" s="6" t="n">
        <f aca="false">(F14*Параметры!$C$11+F15*Параметры!$C$12+F16*Параметры!$C$13)*Параметры!$C$16</f>
        <v>4133.33007678075</v>
      </c>
      <c r="G22" s="6" t="n">
        <f aca="false">(G14*Параметры!$C$11+G15*Параметры!$C$12+G16*Параметры!$C$13)*Параметры!$C$16</f>
        <v>4927.59172416391</v>
      </c>
      <c r="H22" s="6" t="n">
        <f aca="false">(H14*Параметры!$C$11+H15*Параметры!$C$12+H16*Параметры!$C$13)*Параметры!$C$16</f>
        <v>5716.51167745125</v>
      </c>
      <c r="I22" s="6" t="n">
        <f aca="false">(I14*Параметры!$C$11+I15*Параметры!$C$12+I16*Параметры!$C$13)*Параметры!$C$16</f>
        <v>6502.41930464396</v>
      </c>
      <c r="J22" s="6" t="n">
        <f aca="false">(J14*Параметры!$C$11+J15*Параметры!$C$12+J16*Параметры!$C$13)*Параметры!$C$16</f>
        <v>7287.65124234094</v>
      </c>
      <c r="K22" s="6" t="n">
        <f aca="false">(K14*Параметры!$C$11+K15*Параметры!$C$12+K16*Параметры!$C$13)*Параметры!$C$16</f>
        <v>8074.55845652883</v>
      </c>
      <c r="L22" s="6" t="n">
        <f aca="false">(L14*Параметры!$C$11+L15*Параметры!$C$12+L16*Параметры!$C$13)*Параметры!$C$16</f>
        <v>8865.51339578562</v>
      </c>
      <c r="M22" s="6" t="n">
        <f aca="false">(M14*Параметры!$C$11+M15*Параметры!$C$12+M16*Параметры!$C$13)*Параметры!$C$16</f>
        <v>9662.91725900456</v>
      </c>
      <c r="N22" s="6" t="n">
        <f aca="false">(N14*Параметры!$C$11+N15*Параметры!$C$12+N16*Параметры!$C$13)*Параметры!$C$16</f>
        <v>10469.2074002431</v>
      </c>
      <c r="O22" s="6" t="n">
        <f aca="false">(O14*Параметры!$C$11+O15*Параметры!$C$12+O16*Параметры!$C$13)*Параметры!$C$16</f>
        <v>11286.8648938709</v>
      </c>
      <c r="P22" s="6" t="n">
        <f aca="false">(P14*Параметры!$C$11+P15*Параметры!$C$12+P16*Параметры!$C$13)*Параметры!$C$16</f>
        <v>12118.4222838358</v>
      </c>
      <c r="Q22" s="6" t="n">
        <f aca="false">(Q14*Параметры!$C$11+Q15*Параметры!$C$12+Q16*Параметры!$C$13)*Параметры!$C$16</f>
        <v>12966.471541582</v>
      </c>
      <c r="R22" s="6" t="n">
        <f aca="false">(R14*Параметры!$C$11+R15*Параметры!$C$12+R16*Параметры!$C$13)*Параметры!$C$16</f>
        <v>13833.6722579571</v>
      </c>
      <c r="S22" s="6" t="n">
        <f aca="false">(S14*Параметры!$C$11+S15*Параметры!$C$12+S16*Параметры!$C$13)*Параметры!$C$16</f>
        <v>14722.7600953207</v>
      </c>
      <c r="T22" s="6" t="n">
        <f aca="false">(T14*Параметры!$C$11+T15*Параметры!$C$12+T16*Параметры!$C$13)*Параметры!$C$16</f>
        <v>15636.5555270319</v>
      </c>
      <c r="U22" s="6" t="n">
        <f aca="false">(U14*Параметры!$C$11+U15*Параметры!$C$12+U16*Параметры!$C$13)*Параметры!$C$16</f>
        <v>16577.9728925461</v>
      </c>
      <c r="V22" s="6" t="n">
        <f aca="false">(V14*Параметры!$C$11+V15*Параметры!$C$12+V16*Параметры!$C$13)*Параметры!$C$16</f>
        <v>17550.0297974965</v>
      </c>
      <c r="W22" s="6" t="n">
        <f aca="false">(W14*Параметры!$C$11+W15*Параметры!$C$12+W16*Параметры!$C$13)*Параметры!$C$16</f>
        <v>18555.8568893741</v>
      </c>
      <c r="X22" s="6" t="n">
        <f aca="false">(X14*Параметры!$C$11+X15*Параметры!$C$12+X16*Параметры!$C$13)*Параметры!$C$16</f>
        <v>19598.708040763</v>
      </c>
      <c r="Y22" s="6" t="n">
        <f aca="false">(Y14*Параметры!$C$11+Y15*Параметры!$C$12+Y16*Параметры!$C$13)*Параметры!$C$16</f>
        <v>20681.9709735338</v>
      </c>
    </row>
    <row r="23" customFormat="false" ht="15" hidden="false" customHeight="false" outlineLevel="0" collapsed="false">
      <c r="A23" s="4" t="s">
        <v>132</v>
      </c>
      <c r="B23" s="6" t="n">
        <f aca="false">B10*Параметры!$C$14</f>
        <v>39.9888</v>
      </c>
      <c r="C23" s="6" t="n">
        <f aca="false">C10*Параметры!$C$14</f>
        <v>41.188464</v>
      </c>
      <c r="D23" s="6" t="n">
        <f aca="false">D10*Параметры!$C$14</f>
        <v>42.46010784</v>
      </c>
      <c r="E23" s="6" t="n">
        <f aca="false">E10*Параметры!$C$14</f>
        <v>43.8080503104</v>
      </c>
      <c r="F23" s="6" t="n">
        <f aca="false">F10*Параметры!$C$14</f>
        <v>45.236869329024</v>
      </c>
      <c r="G23" s="6" t="n">
        <f aca="false">G10*Параметры!$C$14</f>
        <v>46.7514174887654</v>
      </c>
      <c r="H23" s="6" t="n">
        <f aca="false">H10*Параметры!$C$14</f>
        <v>48.3568385380914</v>
      </c>
      <c r="I23" s="6" t="n">
        <f aca="false">I10*Параметры!$C$14</f>
        <v>50.0585848503769</v>
      </c>
      <c r="J23" s="6" t="n">
        <f aca="false">J10*Параметры!$C$14</f>
        <v>51.8624359413995</v>
      </c>
      <c r="K23" s="6" t="n">
        <f aca="false">K10*Параметры!$C$14</f>
        <v>53.7745180978834</v>
      </c>
      <c r="L23" s="6" t="n">
        <f aca="false">L10*Параметры!$C$14</f>
        <v>55.8013251837565</v>
      </c>
      <c r="M23" s="6" t="n">
        <f aca="false">M10*Параметры!$C$14</f>
        <v>57.9497406947818</v>
      </c>
      <c r="N23" s="6" t="n">
        <f aca="false">N10*Параметры!$C$14</f>
        <v>60.2270611364688</v>
      </c>
      <c r="O23" s="6" t="n">
        <f aca="false">O10*Параметры!$C$14</f>
        <v>62.6410208046569</v>
      </c>
      <c r="P23" s="6" t="n">
        <f aca="false">P10*Параметры!$C$14</f>
        <v>65.1998180529363</v>
      </c>
      <c r="Q23" s="6" t="n">
        <f aca="false">Q10*Параметры!$C$14</f>
        <v>67.9121431361125</v>
      </c>
      <c r="R23" s="6" t="n">
        <f aca="false">R10*Параметры!$C$14</f>
        <v>70.7872077242792</v>
      </c>
      <c r="S23" s="6" t="n">
        <f aca="false">S10*Параметры!$C$14</f>
        <v>73.834776187736</v>
      </c>
      <c r="T23" s="6" t="n">
        <f aca="false">T10*Параметры!$C$14</f>
        <v>77.0651987590001</v>
      </c>
      <c r="U23" s="6" t="n">
        <f aca="false">U10*Параметры!$C$14</f>
        <v>80.4894466845402</v>
      </c>
      <c r="V23" s="6" t="n">
        <f aca="false">V10*Параметры!$C$14</f>
        <v>84.1191494856126</v>
      </c>
      <c r="W23" s="6" t="n">
        <f aca="false">W10*Параметры!$C$14</f>
        <v>87.9666344547493</v>
      </c>
      <c r="X23" s="6" t="n">
        <f aca="false">X10*Параметры!$C$14</f>
        <v>92.0449685220343</v>
      </c>
      <c r="Y23" s="6" t="n">
        <f aca="false">Y10*Параметры!$C$14</f>
        <v>96.3680026333563</v>
      </c>
    </row>
    <row r="24" customFormat="false" ht="15" hidden="false" customHeight="false" outlineLevel="0" collapsed="false">
      <c r="A24" s="4" t="s">
        <v>133</v>
      </c>
      <c r="B24" s="6" t="n">
        <f aca="false">B8*Параметры!$C$15</f>
        <v>19.2</v>
      </c>
      <c r="C24" s="6" t="n">
        <f aca="false">C8*Параметры!$C$15</f>
        <v>19.776</v>
      </c>
      <c r="D24" s="6" t="n">
        <f aca="false">D8*Параметры!$C$15</f>
        <v>20.38656</v>
      </c>
      <c r="E24" s="6" t="n">
        <f aca="false">E8*Параметры!$C$15</f>
        <v>21.0337536</v>
      </c>
      <c r="F24" s="6" t="n">
        <f aca="false">F8*Параметры!$C$15</f>
        <v>21.719778816</v>
      </c>
      <c r="G24" s="6" t="n">
        <f aca="false">G8*Параметры!$C$15</f>
        <v>22.44696554496</v>
      </c>
      <c r="H24" s="6" t="n">
        <f aca="false">H8*Параметры!$C$15</f>
        <v>23.2177834776576</v>
      </c>
      <c r="I24" s="6" t="n">
        <f aca="false">I8*Параметры!$C$15</f>
        <v>24.0348504863171</v>
      </c>
      <c r="J24" s="6" t="n">
        <f aca="false">J8*Параметры!$C$15</f>
        <v>24.9009415154961</v>
      </c>
      <c r="K24" s="6" t="n">
        <f aca="false">K8*Параметры!$C$15</f>
        <v>25.8189980064259</v>
      </c>
      <c r="L24" s="6" t="n">
        <f aca="false">L8*Параметры!$C$15</f>
        <v>26.7921378868114</v>
      </c>
      <c r="M24" s="6" t="n">
        <f aca="false">M8*Параметры!$C$15</f>
        <v>27.8236661600201</v>
      </c>
      <c r="N24" s="6" t="n">
        <f aca="false">N8*Параметры!$C$15</f>
        <v>28.9170861296213</v>
      </c>
      <c r="O24" s="6" t="n">
        <f aca="false">O8*Параметры!$C$15</f>
        <v>30.0761112973986</v>
      </c>
      <c r="P24" s="6" t="n">
        <f aca="false">P8*Параметры!$C$15</f>
        <v>31.3046779752425</v>
      </c>
      <c r="Q24" s="6" t="n">
        <f aca="false">Q8*Параметры!$C$15</f>
        <v>32.6069586537571</v>
      </c>
      <c r="R24" s="6" t="n">
        <f aca="false">R8*Параметры!$C$15</f>
        <v>33.9873761729825</v>
      </c>
      <c r="S24" s="6" t="n">
        <f aca="false">S8*Параметры!$C$15</f>
        <v>35.4506187433614</v>
      </c>
      <c r="T24" s="6" t="n">
        <f aca="false">T8*Параметры!$C$15</f>
        <v>37.0016558679631</v>
      </c>
      <c r="U24" s="6" t="n">
        <f aca="false">U8*Параметры!$C$15</f>
        <v>38.6457552200409</v>
      </c>
      <c r="V24" s="6" t="n">
        <f aca="false">V8*Параметры!$C$15</f>
        <v>40.3885005332434</v>
      </c>
      <c r="W24" s="6" t="n">
        <f aca="false">W8*Параметры!$C$15</f>
        <v>42.235810565238</v>
      </c>
      <c r="X24" s="6" t="n">
        <f aca="false">X8*Параметры!$C$15</f>
        <v>44.1939591991522</v>
      </c>
      <c r="Y24" s="6" t="n">
        <f aca="false">Y8*Параметры!$C$15</f>
        <v>46.2695967511014</v>
      </c>
    </row>
    <row r="25" customFormat="false" ht="15" hidden="false" customHeight="false" outlineLevel="0" collapsed="false">
      <c r="A25" s="4" t="s">
        <v>134</v>
      </c>
      <c r="B25" s="6" t="n">
        <f aca="false">(B14*Параметры!$C$20+B15*Параметры!$C$21+B16*Параметры!$C$22)*Параметры!$C$16*Параметры!$C$18+B10*Параметры!$C$18+B8*Параметры!$C$19</f>
        <v>342.09792</v>
      </c>
      <c r="C25" s="6" t="n">
        <f aca="false">(C14*Параметры!$C$20+C15*Параметры!$C$21+C16*Параметры!$C$22)*Параметры!$C$16*Параметры!$C$18+C10*Параметры!$C$18+C8*Параметры!$C$19</f>
        <v>432.2082816</v>
      </c>
      <c r="D25" s="6" t="n">
        <f aca="false">(D14*Параметры!$C$20+D15*Параметры!$C$21+D16*Параметры!$C$22)*Параметры!$C$16*Параметры!$C$18+D10*Параметры!$C$18+D8*Параметры!$C$19</f>
        <v>521.337470976</v>
      </c>
      <c r="E25" s="6" t="n">
        <f aca="false">(E14*Параметры!$C$20+E15*Параметры!$C$21+E16*Параметры!$C$22)*Параметры!$C$16*Параметры!$C$18+E10*Параметры!$C$18+E8*Параметры!$C$19</f>
        <v>609.74600749056</v>
      </c>
      <c r="F25" s="6" t="n">
        <f aca="false">(F14*Параметры!$C$20+F15*Параметры!$C$21+F16*Параметры!$C$22)*Параметры!$C$16*Параметры!$C$18+F10*Параметры!$C$18+F8*Параметры!$C$19</f>
        <v>697.694072183194</v>
      </c>
      <c r="G25" s="6" t="n">
        <f aca="false">(G14*Параметры!$C$20+G15*Параметры!$C$21+G16*Параметры!$C$22)*Параметры!$C$16*Параметры!$C$18+G10*Параметры!$C$18+G8*Параметры!$C$19</f>
        <v>785.442285945225</v>
      </c>
      <c r="H25" s="6" t="n">
        <f aca="false">(H14*Параметры!$C$20+H15*Параметры!$C$21+H16*Параметры!$C$22)*Параметры!$C$16*Параметры!$C$18+H10*Параметры!$C$18+H8*Параметры!$C$19</f>
        <v>873.252494461427</v>
      </c>
      <c r="I25" s="6" t="n">
        <f aca="false">(I14*Параметры!$C$20+I15*Параметры!$C$21+I16*Параметры!$C$22)*Параметры!$C$16*Параметры!$C$18+I10*Параметры!$C$18+I8*Параметры!$C$19</f>
        <v>961.388562320626</v>
      </c>
      <c r="J25" s="6" t="n">
        <f aca="false">(J14*Параметры!$C$20+J15*Параметры!$C$21+J16*Параметры!$C$22)*Параметры!$C$16*Параметры!$C$18+J10*Параметры!$C$18+J8*Параметры!$C$19</f>
        <v>1050.1171787418</v>
      </c>
      <c r="K25" s="6" t="n">
        <f aca="false">(K14*Параметры!$C$20+K15*Параметры!$C$21+K16*Параметры!$C$22)*Параметры!$C$16*Параметры!$C$18+K10*Параметры!$C$18+K8*Параметры!$C$19</f>
        <v>1139.70867741415</v>
      </c>
      <c r="L25" s="6" t="n">
        <f aca="false">(L14*Параметры!$C$20+L15*Параметры!$C$21+L16*Параметры!$C$22)*Параметры!$C$16*Параметры!$C$18+L10*Параметры!$C$18+L8*Параметры!$C$19</f>
        <v>1230.43787300945</v>
      </c>
      <c r="M25" s="6" t="n">
        <f aca="false">(M14*Параметры!$C$20+M15*Параметры!$C$21+M16*Параметры!$C$22)*Параметры!$C$16*Параметры!$C$18+M10*Параметры!$C$18+M8*Параметры!$C$19</f>
        <v>1322.58491699294</v>
      </c>
      <c r="N25" s="6" t="n">
        <f aca="false">(N14*Параметры!$C$20+N15*Параметры!$C$21+N16*Параметры!$C$22)*Параметры!$C$16*Параметры!$C$18+N10*Параметры!$C$18+N8*Параметры!$C$19</f>
        <v>1416.4361754353</v>
      </c>
      <c r="O25" s="6" t="n">
        <f aca="false">(O14*Параметры!$C$20+O15*Параметры!$C$21+O16*Параметры!$C$22)*Параметры!$C$16*Параметры!$C$18+O10*Параметры!$C$18+O8*Параметры!$C$19</f>
        <v>1512.28513161306</v>
      </c>
      <c r="P25" s="6" t="n">
        <f aca="false">(P14*Параметры!$C$20+P15*Параметры!$C$21+P16*Параметры!$C$22)*Параметры!$C$16*Параметры!$C$18+P10*Параметры!$C$18+P8*Параметры!$C$19</f>
        <v>1610.4333162789</v>
      </c>
      <c r="Q25" s="6" t="n">
        <f aca="false">(Q14*Параметры!$C$20+Q15*Параметры!$C$21+Q16*Параметры!$C$22)*Параметры!$C$16*Параметры!$C$18+Q10*Параметры!$C$18+Q8*Параметры!$C$19</f>
        <v>1711.19126858624</v>
      </c>
      <c r="R25" s="6" t="n">
        <f aca="false">(R14*Параметры!$C$20+R15*Параметры!$C$21+R16*Параметры!$C$22)*Параметры!$C$16*Параметры!$C$18+R10*Параметры!$C$18+R8*Параметры!$C$19</f>
        <v>1814.87953076549</v>
      </c>
      <c r="S25" s="6" t="n">
        <f aca="false">(S14*Параметры!$C$20+S15*Параметры!$C$21+S16*Параметры!$C$22)*Параметры!$C$16*Параметры!$C$18+S10*Параметры!$C$18+S8*Параметры!$C$19</f>
        <v>1921.82967977229</v>
      </c>
      <c r="T25" s="6" t="n">
        <f aca="false">(T14*Параметры!$C$20+T15*Параметры!$C$21+T16*Параметры!$C$22)*Параметры!$C$16*Параметры!$C$18+T10*Параметры!$C$18+T8*Параметры!$C$19</f>
        <v>2032.38539926146</v>
      </c>
      <c r="U25" s="6" t="n">
        <f aca="false">(U14*Параметры!$C$20+U15*Параметры!$C$21+U16*Параметры!$C$22)*Параметры!$C$16*Параметры!$C$18+U10*Параметры!$C$18+U8*Параметры!$C$19</f>
        <v>2146.90359538483</v>
      </c>
      <c r="V25" s="6" t="n">
        <f aca="false">(V14*Параметры!$C$20+V15*Параметры!$C$21+V16*Параметры!$C$22)*Параметры!$C$16*Параметры!$C$18+V10*Параметры!$C$18+V8*Параметры!$C$19</f>
        <v>2265.75556006723</v>
      </c>
      <c r="W25" s="6" t="n">
        <f aca="false">(W14*Параметры!$C$20+W15*Параметры!$C$21+W16*Параметры!$C$22)*Параметры!$C$16*Параметры!$C$18+W10*Параметры!$C$18+W8*Параметры!$C$19</f>
        <v>2389.3281855826</v>
      </c>
      <c r="X25" s="6" t="n">
        <f aca="false">(X14*Параметры!$C$20+X15*Параметры!$C$21+X16*Параметры!$C$22)*Параметры!$C$16*Параметры!$C$18+X10*Параметры!$C$18+X8*Параметры!$C$19</f>
        <v>2518.02523443333</v>
      </c>
      <c r="Y25" s="6" t="n">
        <f aca="false">(Y14*Параметры!$C$20+Y15*Параметры!$C$21+Y16*Параметры!$C$22)*Параметры!$C$16*Параметры!$C$18+Y10*Параметры!$C$18+Y8*Параметры!$C$19</f>
        <v>2652.26866872931</v>
      </c>
    </row>
    <row r="26" customFormat="false" ht="15" hidden="false" customHeight="false" outlineLevel="0" collapsed="false">
      <c r="A26" s="4" t="s">
        <v>62</v>
      </c>
      <c r="B26" s="6" t="n">
        <f aca="false">B20*Параметры!$C$24</f>
        <v>354.374016</v>
      </c>
      <c r="C26" s="6" t="n">
        <f aca="false">C20*Параметры!$C$24</f>
        <v>598.21239168</v>
      </c>
      <c r="D26" s="6" t="n">
        <f aca="false">D20*Параметры!$C$24</f>
        <v>838.0244974848</v>
      </c>
      <c r="E26" s="6" t="n">
        <f aca="false">E20*Параметры!$C$24</f>
        <v>1074.50158584269</v>
      </c>
      <c r="F26" s="6" t="n">
        <f aca="false">F20*Параметры!$C$24</f>
        <v>1308.32974289661</v>
      </c>
      <c r="G26" s="6" t="n">
        <f aca="false">G20*Параметры!$C$24</f>
        <v>1540.1919105986</v>
      </c>
      <c r="H26" s="6" t="n">
        <f aca="false">H20*Параметры!$C$24</f>
        <v>1770.7699135263</v>
      </c>
      <c r="I26" s="6" t="n">
        <f aca="false">I20*Параметры!$C$24</f>
        <v>2000.74649653507</v>
      </c>
      <c r="J26" s="6" t="n">
        <f aca="false">J20*Параметры!$C$24</f>
        <v>2230.80737943451</v>
      </c>
      <c r="K26" s="6" t="n">
        <f aca="false">K20*Параметры!$C$24</f>
        <v>2461.64333497254</v>
      </c>
      <c r="L26" s="6" t="n">
        <f aca="false">L20*Параметры!$C$24</f>
        <v>2693.95229652426</v>
      </c>
      <c r="M26" s="6" t="n">
        <f aca="false">M20*Параметры!$C$24</f>
        <v>2928.44150201642</v>
      </c>
      <c r="N26" s="6" t="n">
        <f aca="false">N20*Параметры!$C$24</f>
        <v>3165.82968077307</v>
      </c>
      <c r="O26" s="6" t="n">
        <f aca="false">O20*Параметры!$C$24</f>
        <v>3406.84929014334</v>
      </c>
      <c r="P26" s="6" t="n">
        <f aca="false">P20*Параметры!$C$24</f>
        <v>3652.24880896963</v>
      </c>
      <c r="Q26" s="6" t="n">
        <f aca="false">Q20*Параметры!$C$24</f>
        <v>3902.79509517461</v>
      </c>
      <c r="R26" s="6" t="n">
        <f aca="false">R20*Параметры!$C$24</f>
        <v>4159.27581498855</v>
      </c>
      <c r="S26" s="6" t="n">
        <f aca="false">S20*Параметры!$C$24</f>
        <v>4422.50195160615</v>
      </c>
      <c r="T26" s="6" t="n">
        <f aca="false">T20*Параметры!$C$24</f>
        <v>4693.3104013549</v>
      </c>
      <c r="U26" s="6" t="n">
        <f aca="false">U20*Параметры!$C$24</f>
        <v>4972.56666577594</v>
      </c>
      <c r="V26" s="6" t="n">
        <f aca="false">V20*Параметры!$C$24</f>
        <v>5261.16764836527</v>
      </c>
      <c r="W26" s="6" t="n">
        <f aca="false">W20*Параметры!$C$24</f>
        <v>5560.04456509782</v>
      </c>
      <c r="X26" s="6" t="n">
        <f aca="false">X20*Параметры!$C$24</f>
        <v>5870.16597826279</v>
      </c>
      <c r="Y26" s="6" t="n">
        <f aca="false">Y20*Параметры!$C$24</f>
        <v>6192.5409635747</v>
      </c>
    </row>
    <row r="27" customFormat="false" ht="15" hidden="false" customHeight="false" outlineLevel="0" collapsed="false">
      <c r="A27" s="9" t="s">
        <v>135</v>
      </c>
    </row>
    <row r="28" customFormat="false" ht="15" hidden="false" customHeight="false" outlineLevel="0" collapsed="false">
      <c r="A28" s="4" t="s">
        <v>136</v>
      </c>
      <c r="B28" s="8" t="n">
        <f aca="false">SUM(B20)</f>
        <v>9325.632</v>
      </c>
      <c r="C28" s="8" t="n">
        <f aca="false">SUM(B20:C20)</f>
        <v>25068.06336</v>
      </c>
      <c r="D28" s="8" t="n">
        <f aca="false">SUM(B20:D20)</f>
        <v>47121.3396096</v>
      </c>
      <c r="E28" s="8" t="n">
        <f aca="false">SUM(B20:E20)</f>
        <v>75397.697131776</v>
      </c>
      <c r="F28" s="8" t="n">
        <f aca="false">SUM(B20:F20)</f>
        <v>109827.427208003</v>
      </c>
      <c r="G28" s="8" t="n">
        <f aca="false">SUM(B20:G20)</f>
        <v>150358.793276387</v>
      </c>
      <c r="H28" s="8" t="n">
        <f aca="false">SUM(B20:H20)</f>
        <v>196958.001527079</v>
      </c>
      <c r="I28" s="8" t="n">
        <f aca="false">SUM(B20:I20)</f>
        <v>249609.225120107</v>
      </c>
      <c r="J28" s="8" t="n">
        <f aca="false">SUM(B20:J20)</f>
        <v>308314.682473647</v>
      </c>
      <c r="K28" s="8" t="n">
        <f aca="false">SUM(B20:K20)</f>
        <v>373094.770236082</v>
      </c>
      <c r="L28" s="8" t="n">
        <f aca="false">SUM(B20:L20)</f>
        <v>443988.251723562</v>
      </c>
      <c r="M28" s="8" t="n">
        <f aca="false">SUM(B20:M20)</f>
        <v>521052.501776626</v>
      </c>
      <c r="N28" s="8" t="n">
        <f aca="false">SUM(C20:N20)</f>
        <v>595038.177165391</v>
      </c>
      <c r="O28" s="8" t="n">
        <f aca="false">SUM(D20:O20)</f>
        <v>668949.674493374</v>
      </c>
      <c r="P28" s="8" t="n">
        <f aca="false">SUM(E20:P20)</f>
        <v>743008.209006132</v>
      </c>
      <c r="Q28" s="8" t="n">
        <f aca="false">SUM(F20:Q20)</f>
        <v>817436.985567499</v>
      </c>
      <c r="R28" s="8" t="n">
        <f aca="false">SUM(G20:R20)</f>
        <v>892461.882201497</v>
      </c>
      <c r="S28" s="8" t="n">
        <f aca="false">SUM(H20:S20)</f>
        <v>968312.146438538</v>
      </c>
      <c r="T28" s="8" t="n">
        <f aca="false">SUM(I20:T20)</f>
        <v>1045221.10664455</v>
      </c>
      <c r="U28" s="8" t="n">
        <f aca="false">SUM(J20:U20)</f>
        <v>1123426.90057195</v>
      </c>
      <c r="V28" s="8" t="n">
        <f aca="false">SUM(K20:V20)</f>
        <v>1203173.22343854</v>
      </c>
      <c r="W28" s="8" t="n">
        <f aca="false">SUM(L20:W20)</f>
        <v>1284710.09791552</v>
      </c>
      <c r="X28" s="8" t="n">
        <f aca="false">SUM(M20:X20)</f>
        <v>1368294.66848759</v>
      </c>
      <c r="Y28" s="8" t="n">
        <f aca="false">SUM(N20:Y20)</f>
        <v>1454192.02273912</v>
      </c>
    </row>
    <row r="29" customFormat="false" ht="15" hidden="false" customHeight="false" outlineLevel="0" collapsed="false">
      <c r="A29" s="4" t="s">
        <v>137</v>
      </c>
      <c r="B29" s="6" t="n">
        <f aca="false">B20*Параметры!$C$25</f>
        <v>559.53792</v>
      </c>
      <c r="C29" s="6" t="n">
        <f aca="false">C20*Параметры!$C$25</f>
        <v>944.5458816</v>
      </c>
      <c r="D29" s="6" t="n">
        <f aca="false">D20*Параметры!$C$25</f>
        <v>1323.196574976</v>
      </c>
      <c r="E29" s="6" t="n">
        <f aca="false">E20*Параметры!$C$25</f>
        <v>1696.58145133056</v>
      </c>
      <c r="F29" s="6" t="n">
        <f aca="false">F20*Параметры!$C$25</f>
        <v>2065.78380457359</v>
      </c>
      <c r="G29" s="6" t="n">
        <f aca="false">G20*Параметры!$C$25</f>
        <v>2431.88196410305</v>
      </c>
      <c r="H29" s="6" t="n">
        <f aca="false">H20*Параметры!$C$25</f>
        <v>2795.95249504152</v>
      </c>
      <c r="I29" s="6" t="n">
        <f aca="false">I20*Параметры!$C$25</f>
        <v>3159.07341558169</v>
      </c>
      <c r="J29" s="6" t="n">
        <f aca="false">J20*Параметры!$C$25</f>
        <v>3522.32744121238</v>
      </c>
      <c r="K29" s="6" t="n">
        <f aca="false">K20*Параметры!$C$25</f>
        <v>3886.80526574612</v>
      </c>
      <c r="L29" s="6" t="n">
        <f aca="false">L20*Параметры!$C$25</f>
        <v>4253.60888924884</v>
      </c>
      <c r="M29" s="6" t="n">
        <f aca="false">M20*Параметры!$C$25</f>
        <v>4623.85500318382</v>
      </c>
      <c r="N29" s="6" t="n">
        <f aca="false">N20*Параметры!$C$25</f>
        <v>4998.6784433259</v>
      </c>
      <c r="O29" s="6" t="n">
        <f aca="false">O20*Параметры!$C$25</f>
        <v>5379.23572127895</v>
      </c>
      <c r="P29" s="6" t="n">
        <f aca="false">P20*Параметры!$C$25</f>
        <v>5766.70864574151</v>
      </c>
      <c r="Q29" s="6" t="n">
        <f aca="false">Q20*Параметры!$C$25</f>
        <v>6162.30804501254</v>
      </c>
      <c r="R29" s="6" t="n">
        <f aca="false">R20*Параметры!$C$25</f>
        <v>6567.27760261349</v>
      </c>
      <c r="S29" s="6" t="n">
        <f aca="false">S20*Параметры!$C$25</f>
        <v>6982.8978183255</v>
      </c>
      <c r="T29" s="6" t="n">
        <f aca="false">T20*Параметры!$C$25</f>
        <v>7410.49010740247</v>
      </c>
      <c r="U29" s="6" t="n">
        <f aca="false">U20*Параметры!$C$25</f>
        <v>7851.42105122518</v>
      </c>
      <c r="V29" s="6" t="n">
        <f aca="false">V20*Параметры!$C$25</f>
        <v>8307.10681320832</v>
      </c>
      <c r="W29" s="6" t="n">
        <f aca="false">W20*Параметры!$C$25</f>
        <v>8779.01773436497</v>
      </c>
      <c r="X29" s="6" t="n">
        <f aca="false">X20*Параметры!$C$25</f>
        <v>9268.68312357282</v>
      </c>
      <c r="Y29" s="6" t="n">
        <f aca="false">Y20*Параметры!$C$25</f>
        <v>9777.69625827584</v>
      </c>
    </row>
    <row r="30" customFormat="false" ht="15" hidden="false" customHeight="false" outlineLevel="0" collapsed="false">
      <c r="A30" s="4" t="s">
        <v>138</v>
      </c>
      <c r="B30" s="6" t="n">
        <f aca="false">IF(B28&gt;Параметры!$C$26,B20*Параметры!$C$27,0)</f>
        <v>0</v>
      </c>
      <c r="C30" s="6" t="n">
        <f aca="false">IF(C28&gt;Параметры!$C$26,C20*Параметры!$C$27,0)</f>
        <v>0</v>
      </c>
      <c r="D30" s="6" t="n">
        <f aca="false">IF(D28&gt;Параметры!$C$26,D20*Параметры!$C$27,0)</f>
        <v>0</v>
      </c>
      <c r="E30" s="6" t="n">
        <f aca="false">IF(E28&gt;Параметры!$C$26,E20*Параметры!$C$27,0)</f>
        <v>0</v>
      </c>
      <c r="F30" s="6" t="n">
        <f aca="false">IF(F28&gt;Параметры!$C$26,F20*Параметры!$C$27,0)</f>
        <v>0</v>
      </c>
      <c r="G30" s="6" t="n">
        <f aca="false">IF(G28&gt;Параметры!$C$26,G20*Параметры!$C$27,0)</f>
        <v>0</v>
      </c>
      <c r="H30" s="6" t="n">
        <f aca="false">IF(H28&gt;Параметры!$C$26,H20*Параметры!$C$27,0)</f>
        <v>0</v>
      </c>
      <c r="I30" s="6" t="n">
        <f aca="false">IF(I28&gt;Параметры!$C$26,I20*Параметры!$C$27,0)</f>
        <v>0</v>
      </c>
      <c r="J30" s="6" t="n">
        <f aca="false">IF(J28&gt;Параметры!$C$26,J20*Параметры!$C$27,0)</f>
        <v>0</v>
      </c>
      <c r="K30" s="6" t="n">
        <f aca="false">IF(K28&gt;Параметры!$C$26,K20*Параметры!$C$27,0)</f>
        <v>0</v>
      </c>
      <c r="L30" s="6" t="n">
        <f aca="false">IF(L28&gt;Параметры!$C$26,L20*Параметры!$C$27,0)</f>
        <v>0</v>
      </c>
      <c r="M30" s="6" t="n">
        <f aca="false">IF(M28&gt;Параметры!$C$26,M20*Параметры!$C$27,0)</f>
        <v>0</v>
      </c>
      <c r="N30" s="6" t="n">
        <f aca="false">IF(N28&gt;Параметры!$C$26,N20*Параметры!$C$27,0)</f>
        <v>0</v>
      </c>
      <c r="O30" s="6" t="n">
        <f aca="false">IF(O28&gt;Параметры!$C$26,O20*Параметры!$C$27,0)</f>
        <v>0</v>
      </c>
      <c r="P30" s="6" t="n">
        <f aca="false">IF(P28&gt;Параметры!$C$26,P20*Параметры!$C$27,0)</f>
        <v>0</v>
      </c>
      <c r="Q30" s="6" t="n">
        <f aca="false">IF(Q28&gt;Параметры!$C$26,Q20*Параметры!$C$27,0)</f>
        <v>0</v>
      </c>
      <c r="R30" s="6" t="n">
        <f aca="false">IF(R28&gt;Параметры!$C$26,R20*Параметры!$C$27,0)</f>
        <v>0</v>
      </c>
      <c r="S30" s="6" t="n">
        <f aca="false">IF(S28&gt;Параметры!$C$26,S20*Параметры!$C$27,0)</f>
        <v>0</v>
      </c>
      <c r="T30" s="6" t="n">
        <f aca="false">IF(T28&gt;Параметры!$C$26,T20*Параметры!$C$27,0)</f>
        <v>0</v>
      </c>
      <c r="U30" s="6" t="n">
        <f aca="false">IF(U28&gt;Параметры!$C$26,U20*Параметры!$C$27,0)</f>
        <v>0</v>
      </c>
      <c r="V30" s="6" t="n">
        <f aca="false">IF(V28&gt;Параметры!$C$26,V20*Параметры!$C$27,0)</f>
        <v>0</v>
      </c>
      <c r="W30" s="6" t="n">
        <f aca="false">IF(W28&gt;Параметры!$C$26,W20*Параметры!$C$27,0)</f>
        <v>0</v>
      </c>
      <c r="X30" s="6" t="n">
        <f aca="false">IF(X28&gt;Параметры!$C$26,X20*Параметры!$C$27,0)</f>
        <v>0</v>
      </c>
      <c r="Y30" s="6" t="n">
        <f aca="false">IF(Y28&gt;Параметры!$C$26,Y20*Параметры!$C$27,0)</f>
        <v>0</v>
      </c>
    </row>
    <row r="31" customFormat="false" ht="15" hidden="false" customHeight="false" outlineLevel="0" collapsed="false">
      <c r="A31" s="4" t="s">
        <v>139</v>
      </c>
      <c r="B31" s="6" t="n">
        <f aca="false">Параметры!$C$28/12+MAX(0,B20-Параметры!$C$29/12)*Параметры!$C$30</f>
        <v>4782.5</v>
      </c>
      <c r="C31" s="6" t="n">
        <f aca="false">Параметры!$C$28/12+MAX(0,C20-Параметры!$C$29/12)*Параметры!$C$30</f>
        <v>4782.5</v>
      </c>
      <c r="D31" s="6" t="n">
        <f aca="false">Параметры!$C$28/12+MAX(0,D20-Параметры!$C$29/12)*Параметры!$C$30</f>
        <v>4782.5</v>
      </c>
      <c r="E31" s="6" t="n">
        <f aca="false">Параметры!$C$28/12+MAX(0,E20-Параметры!$C$29/12)*Параметры!$C$30</f>
        <v>4815.26357522176</v>
      </c>
      <c r="F31" s="6" t="n">
        <f aca="false">Параметры!$C$28/12+MAX(0,F20-Параметры!$C$29/12)*Параметры!$C$30</f>
        <v>4876.79730076227</v>
      </c>
      <c r="G31" s="6" t="n">
        <f aca="false">Параметры!$C$28/12+MAX(0,G20-Параметры!$C$29/12)*Параметры!$C$30</f>
        <v>4937.81366068384</v>
      </c>
      <c r="H31" s="6" t="n">
        <f aca="false">Параметры!$C$28/12+MAX(0,H20-Параметры!$C$29/12)*Параметры!$C$30</f>
        <v>4998.49208250692</v>
      </c>
      <c r="I31" s="6" t="n">
        <f aca="false">Параметры!$C$28/12+MAX(0,I20-Параметры!$C$29/12)*Параметры!$C$30</f>
        <v>5059.01223593028</v>
      </c>
      <c r="J31" s="6" t="n">
        <f aca="false">Параметры!$C$28/12+MAX(0,J20-Параметры!$C$29/12)*Параметры!$C$30</f>
        <v>5119.5545735354</v>
      </c>
      <c r="K31" s="6" t="n">
        <f aca="false">Параметры!$C$28/12+MAX(0,K20-Параметры!$C$29/12)*Параметры!$C$30</f>
        <v>5180.30087762435</v>
      </c>
      <c r="L31" s="6" t="n">
        <f aca="false">Параметры!$C$28/12+MAX(0,L20-Параметры!$C$29/12)*Параметры!$C$30</f>
        <v>5241.43481487481</v>
      </c>
      <c r="M31" s="6" t="n">
        <f aca="false">Параметры!$C$28/12+MAX(0,M20-Параметры!$C$29/12)*Параметры!$C$30</f>
        <v>5303.14250053064</v>
      </c>
      <c r="N31" s="6" t="n">
        <f aca="false">Параметры!$C$28/12+MAX(0,N20-Параметры!$C$29/12)*Параметры!$C$30</f>
        <v>5365.61307388765</v>
      </c>
      <c r="O31" s="6" t="n">
        <f aca="false">Параметры!$C$28/12+MAX(0,O20-Параметры!$C$29/12)*Параметры!$C$30</f>
        <v>5429.03928687983</v>
      </c>
      <c r="P31" s="6" t="n">
        <f aca="false">Параметры!$C$28/12+MAX(0,P20-Параметры!$C$29/12)*Параметры!$C$30</f>
        <v>5493.61810762359</v>
      </c>
      <c r="Q31" s="6" t="n">
        <f aca="false">Параметры!$C$28/12+MAX(0,Q20-Параметры!$C$29/12)*Параметры!$C$30</f>
        <v>5559.55134083542</v>
      </c>
      <c r="R31" s="6" t="n">
        <f aca="false">Параметры!$C$28/12+MAX(0,R20-Параметры!$C$29/12)*Параметры!$C$30</f>
        <v>5627.04626710225</v>
      </c>
      <c r="S31" s="6" t="n">
        <f aca="false">Параметры!$C$28/12+MAX(0,S20-Параметры!$C$29/12)*Параметры!$C$30</f>
        <v>5696.31630305425</v>
      </c>
      <c r="T31" s="6" t="n">
        <f aca="false">Параметры!$C$28/12+MAX(0,T20-Параметры!$C$29/12)*Параметры!$C$30</f>
        <v>5767.58168456708</v>
      </c>
      <c r="U31" s="6" t="n">
        <f aca="false">Параметры!$C$28/12+MAX(0,U20-Параметры!$C$29/12)*Параметры!$C$30</f>
        <v>5841.0701752042</v>
      </c>
      <c r="V31" s="6" t="n">
        <f aca="false">Параметры!$C$28/12+MAX(0,V20-Параметры!$C$29/12)*Параметры!$C$30</f>
        <v>5917.01780220139</v>
      </c>
      <c r="W31" s="6" t="n">
        <f aca="false">Параметры!$C$28/12+MAX(0,W20-Параметры!$C$29/12)*Параметры!$C$30</f>
        <v>5995.66962239416</v>
      </c>
      <c r="X31" s="6" t="n">
        <f aca="false">Параметры!$C$28/12+MAX(0,X20-Параметры!$C$29/12)*Параметры!$C$30</f>
        <v>6077.28052059547</v>
      </c>
      <c r="Y31" s="6" t="n">
        <f aca="false">Параметры!$C$28/12+MAX(0,Y20-Параметры!$C$29/12)*Параметры!$C$30</f>
        <v>6162.11604304597</v>
      </c>
    </row>
    <row r="32" customFormat="false" ht="15" hidden="false" customHeight="false" outlineLevel="0" collapsed="false">
      <c r="A32" s="9" t="s">
        <v>140</v>
      </c>
    </row>
    <row r="33" customFormat="false" ht="15" hidden="false" customHeight="false" outlineLevel="0" collapsed="false">
      <c r="A33" s="4" t="s">
        <v>141</v>
      </c>
      <c r="B33" s="6" t="n">
        <f aca="false">Параметры!$C$32+Параметры!$C$33+Параметры!$C$34+Параметры!$C$35+Параметры!$C$36</f>
        <v>6799</v>
      </c>
      <c r="C33" s="6" t="n">
        <f aca="false">Параметры!$C$32+Параметры!$C$33+Параметры!$C$34+Параметры!$C$35+Параметры!$C$36</f>
        <v>6799</v>
      </c>
      <c r="D33" s="6" t="n">
        <f aca="false">Параметры!$C$32+Параметры!$C$33+Параметры!$C$34+Параметры!$C$35+Параметры!$C$36</f>
        <v>6799</v>
      </c>
      <c r="E33" s="6" t="n">
        <f aca="false">Параметры!$C$32+Параметры!$C$33+Параметры!$C$34+Параметры!$C$35+Параметры!$C$36</f>
        <v>6799</v>
      </c>
      <c r="F33" s="6" t="n">
        <f aca="false">Параметры!$C$32+Параметры!$C$33+Параметры!$C$34+Параметры!$C$35+Параметры!$C$36</f>
        <v>6799</v>
      </c>
      <c r="G33" s="6" t="n">
        <f aca="false">Параметры!$C$32+Параметры!$C$33+Параметры!$C$34+Параметры!$C$35+Параметры!$C$36</f>
        <v>6799</v>
      </c>
      <c r="H33" s="6" t="n">
        <f aca="false">Параметры!$C$32+Параметры!$C$33+Параметры!$C$34+Параметры!$C$35+Параметры!$C$36</f>
        <v>6799</v>
      </c>
      <c r="I33" s="6" t="n">
        <f aca="false">Параметры!$C$32+Параметры!$C$33+Параметры!$C$34+Параметры!$C$35+Параметры!$C$36</f>
        <v>6799</v>
      </c>
      <c r="J33" s="6" t="n">
        <f aca="false">Параметры!$C$32+Параметры!$C$33+Параметры!$C$34+Параметры!$C$35+Параметры!$C$36</f>
        <v>6799</v>
      </c>
      <c r="K33" s="6" t="n">
        <f aca="false">Параметры!$C$32+Параметры!$C$33+Параметры!$C$34+Параметры!$C$35+Параметры!$C$36</f>
        <v>6799</v>
      </c>
      <c r="L33" s="6" t="n">
        <f aca="false">Параметры!$C$32+Параметры!$C$33+Параметры!$C$34+Параметры!$C$35+Параметры!$C$36</f>
        <v>6799</v>
      </c>
      <c r="M33" s="6" t="n">
        <f aca="false">Параметры!$C$32+Параметры!$C$33+Параметры!$C$34+Параметры!$C$35+Параметры!$C$36</f>
        <v>6799</v>
      </c>
      <c r="N33" s="6" t="n">
        <f aca="false">Параметры!$C$32+Параметры!$C$33+Параметры!$C$34+Параметры!$C$35+Параметры!$C$36</f>
        <v>6799</v>
      </c>
      <c r="O33" s="6" t="n">
        <f aca="false">Параметры!$C$32+Параметры!$C$33+Параметры!$C$34+Параметры!$C$35+Параметры!$C$36</f>
        <v>6799</v>
      </c>
      <c r="P33" s="6" t="n">
        <f aca="false">Параметры!$C$32+Параметры!$C$33+Параметры!$C$34+Параметры!$C$35+Параметры!$C$36</f>
        <v>6799</v>
      </c>
      <c r="Q33" s="6" t="n">
        <f aca="false">Параметры!$C$32+Параметры!$C$33+Параметры!$C$34+Параметры!$C$35+Параметры!$C$36</f>
        <v>6799</v>
      </c>
      <c r="R33" s="6" t="n">
        <f aca="false">Параметры!$C$32+Параметры!$C$33+Параметры!$C$34+Параметры!$C$35+Параметры!$C$36</f>
        <v>6799</v>
      </c>
      <c r="S33" s="6" t="n">
        <f aca="false">Параметры!$C$32+Параметры!$C$33+Параметры!$C$34+Параметры!$C$35+Параметры!$C$36</f>
        <v>6799</v>
      </c>
      <c r="T33" s="6" t="n">
        <f aca="false">Параметры!$C$32+Параметры!$C$33+Параметры!$C$34+Параметры!$C$35+Параметры!$C$36</f>
        <v>6799</v>
      </c>
      <c r="U33" s="6" t="n">
        <f aca="false">Параметры!$C$32+Параметры!$C$33+Параметры!$C$34+Параметры!$C$35+Параметры!$C$36</f>
        <v>6799</v>
      </c>
      <c r="V33" s="6" t="n">
        <f aca="false">Параметры!$C$32+Параметры!$C$33+Параметры!$C$34+Параметры!$C$35+Параметры!$C$36</f>
        <v>6799</v>
      </c>
      <c r="W33" s="6" t="n">
        <f aca="false">Параметры!$C$32+Параметры!$C$33+Параметры!$C$34+Параметры!$C$35+Параметры!$C$36</f>
        <v>6799</v>
      </c>
      <c r="X33" s="6" t="n">
        <f aca="false">Параметры!$C$32+Параметры!$C$33+Параметры!$C$34+Параметры!$C$35+Параметры!$C$36</f>
        <v>6799</v>
      </c>
      <c r="Y33" s="6" t="n">
        <f aca="false">Параметры!$C$32+Параметры!$C$33+Параметры!$C$34+Параметры!$C$35+Параметры!$C$36</f>
        <v>6799</v>
      </c>
    </row>
    <row r="34" customFormat="false" ht="15" hidden="false" customHeight="false" outlineLevel="0" collapsed="false">
      <c r="A34" s="4" t="s">
        <v>142</v>
      </c>
      <c r="B34" s="6" t="n">
        <f aca="false">Параметры!$C$41</f>
        <v>30000</v>
      </c>
      <c r="C34" s="6" t="n">
        <f aca="false">Параметры!$C$41</f>
        <v>30000</v>
      </c>
      <c r="D34" s="6" t="n">
        <f aca="false">Параметры!$C$41</f>
        <v>30000</v>
      </c>
      <c r="E34" s="6" t="n">
        <f aca="false">Параметры!$C$41</f>
        <v>30000</v>
      </c>
      <c r="F34" s="6" t="n">
        <f aca="false">Параметры!$C$41</f>
        <v>30000</v>
      </c>
      <c r="G34" s="6" t="n">
        <f aca="false">Параметры!$C$41</f>
        <v>30000</v>
      </c>
      <c r="H34" s="6" t="n">
        <f aca="false">Параметры!$C$41</f>
        <v>30000</v>
      </c>
      <c r="I34" s="6" t="n">
        <f aca="false">Параметры!$C$41</f>
        <v>30000</v>
      </c>
      <c r="J34" s="6" t="n">
        <f aca="false">Параметры!$C$41</f>
        <v>30000</v>
      </c>
      <c r="K34" s="6" t="n">
        <f aca="false">Параметры!$C$41</f>
        <v>30000</v>
      </c>
      <c r="L34" s="6" t="n">
        <f aca="false">Параметры!$C$41</f>
        <v>30000</v>
      </c>
      <c r="M34" s="6" t="n">
        <f aca="false">Параметры!$C$41</f>
        <v>30000</v>
      </c>
      <c r="N34" s="6" t="n">
        <f aca="false">Параметры!$C$41</f>
        <v>30000</v>
      </c>
      <c r="O34" s="6" t="n">
        <f aca="false">Параметры!$C$41</f>
        <v>30000</v>
      </c>
      <c r="P34" s="6" t="n">
        <f aca="false">Параметры!$C$41</f>
        <v>30000</v>
      </c>
      <c r="Q34" s="6" t="n">
        <f aca="false">Параметры!$C$41</f>
        <v>30000</v>
      </c>
      <c r="R34" s="6" t="n">
        <f aca="false">Параметры!$C$41</f>
        <v>30000</v>
      </c>
      <c r="S34" s="6" t="n">
        <f aca="false">Параметры!$C$41</f>
        <v>30000</v>
      </c>
      <c r="T34" s="6" t="n">
        <f aca="false">Параметры!$C$41</f>
        <v>30000</v>
      </c>
      <c r="U34" s="6" t="n">
        <f aca="false">Параметры!$C$41</f>
        <v>30000</v>
      </c>
      <c r="V34" s="6" t="n">
        <f aca="false">Параметры!$C$41</f>
        <v>30000</v>
      </c>
      <c r="W34" s="6" t="n">
        <f aca="false">Параметры!$C$41</f>
        <v>30000</v>
      </c>
      <c r="X34" s="6" t="n">
        <f aca="false">Параметры!$C$41</f>
        <v>30000</v>
      </c>
      <c r="Y34" s="6" t="n">
        <f aca="false">Параметры!$C$41</f>
        <v>30000</v>
      </c>
    </row>
    <row r="35" customFormat="false" ht="15" hidden="false" customHeight="false" outlineLevel="0" collapsed="false">
      <c r="A35" s="4" t="s">
        <v>88</v>
      </c>
      <c r="B35" s="6" t="n">
        <f aca="false">Параметры!$C$37</f>
        <v>0</v>
      </c>
      <c r="C35" s="6" t="n">
        <f aca="false">Параметры!$C$37</f>
        <v>0</v>
      </c>
      <c r="D35" s="6" t="n">
        <f aca="false">Параметры!$C$37</f>
        <v>0</v>
      </c>
      <c r="E35" s="6" t="n">
        <f aca="false">Параметры!$C$37</f>
        <v>0</v>
      </c>
      <c r="F35" s="6" t="n">
        <f aca="false">Параметры!$C$37</f>
        <v>0</v>
      </c>
      <c r="G35" s="6" t="n">
        <f aca="false">Параметры!$C$37</f>
        <v>0</v>
      </c>
      <c r="H35" s="6" t="n">
        <f aca="false">Параметры!$C$37</f>
        <v>0</v>
      </c>
      <c r="I35" s="6" t="n">
        <f aca="false">Параметры!$C$37</f>
        <v>0</v>
      </c>
      <c r="J35" s="6" t="n">
        <f aca="false">Параметры!$C$37</f>
        <v>0</v>
      </c>
      <c r="K35" s="6" t="n">
        <f aca="false">Параметры!$C$37</f>
        <v>0</v>
      </c>
      <c r="L35" s="6" t="n">
        <f aca="false">Параметры!$C$37</f>
        <v>0</v>
      </c>
      <c r="M35" s="6" t="n">
        <f aca="false">Параметры!$C$37</f>
        <v>0</v>
      </c>
      <c r="N35" s="6" t="n">
        <f aca="false">Параметры!$C$37</f>
        <v>0</v>
      </c>
      <c r="O35" s="6" t="n">
        <f aca="false">Параметры!$C$37</f>
        <v>0</v>
      </c>
      <c r="P35" s="6" t="n">
        <f aca="false">Параметры!$C$37</f>
        <v>0</v>
      </c>
      <c r="Q35" s="6" t="n">
        <f aca="false">Параметры!$C$37</f>
        <v>0</v>
      </c>
      <c r="R35" s="6" t="n">
        <f aca="false">Параметры!$C$37</f>
        <v>0</v>
      </c>
      <c r="S35" s="6" t="n">
        <f aca="false">Параметры!$C$37</f>
        <v>0</v>
      </c>
      <c r="T35" s="6" t="n">
        <f aca="false">Параметры!$C$37</f>
        <v>0</v>
      </c>
      <c r="U35" s="6" t="n">
        <f aca="false">Параметры!$C$37</f>
        <v>0</v>
      </c>
      <c r="V35" s="6" t="n">
        <f aca="false">Параметры!$C$37</f>
        <v>0</v>
      </c>
      <c r="W35" s="6" t="n">
        <f aca="false">Параметры!$C$37</f>
        <v>0</v>
      </c>
      <c r="X35" s="6" t="n">
        <f aca="false">Параметры!$C$37</f>
        <v>0</v>
      </c>
      <c r="Y35" s="6" t="n">
        <f aca="false">Параметры!$C$37</f>
        <v>0</v>
      </c>
    </row>
    <row r="36" customFormat="false" ht="15" hidden="false" customHeight="false" outlineLevel="0" collapsed="false">
      <c r="A36" s="9" t="s">
        <v>143</v>
      </c>
    </row>
    <row r="37" customFormat="false" ht="15" hidden="false" customHeight="false" outlineLevel="0" collapsed="false">
      <c r="A37" s="9" t="s">
        <v>144</v>
      </c>
      <c r="B37" s="8" t="n">
        <f aca="false">B22+B23+B24+B25+B26+B29+B30+B31+B33+B34+B35</f>
        <v>43752.842016</v>
      </c>
      <c r="C37" s="8" t="n">
        <f aca="false">C22+C23+C24+C25+C26+C29+C30+C31+C33+C34+C35</f>
        <v>45312.59487168</v>
      </c>
      <c r="D37" s="8" t="n">
        <f aca="false">D22+D23+D24+D25+D26+D29+D30+D31+D33+D34+D35</f>
        <v>46846.3638910848</v>
      </c>
      <c r="E37" s="8" t="n">
        <f aca="false">E22+E23+E24+E25+E26+E29+E30+E31+E33+E34+E35</f>
        <v>48391.3320696405</v>
      </c>
      <c r="F37" s="8" t="n">
        <f aca="false">F22+F23+F24+F25+F26+F29+F30+F31+F33+F34+F35</f>
        <v>49947.8916453414</v>
      </c>
      <c r="G37" s="8" t="n">
        <f aca="false">G22+G23+G24+G25+G26+G29+G30+G31+G33+G34+G35</f>
        <v>51491.1199285284</v>
      </c>
      <c r="H37" s="8" t="n">
        <f aca="false">H22+H23+H24+H25+H26+H29+H30+H31+H33+H34+H35</f>
        <v>53025.5532850032</v>
      </c>
      <c r="I37" s="8" t="n">
        <f aca="false">I22+I23+I24+I25+I26+I29+I30+I31+I33+I34+I35</f>
        <v>54555.7334503483</v>
      </c>
      <c r="J37" s="8" t="n">
        <f aca="false">J22+J23+J24+J25+J26+J29+J30+J31+J33+J34+J35</f>
        <v>56086.2211927219</v>
      </c>
      <c r="K37" s="8" t="n">
        <f aca="false">K22+K23+K24+K25+K26+K29+K30+K31+K33+K34+K35</f>
        <v>57621.6101283903</v>
      </c>
      <c r="L37" s="8" t="n">
        <f aca="false">L22+L23+L24+L25+L26+L29+L30+L31+L33+L34+L35</f>
        <v>59166.5407325135</v>
      </c>
      <c r="M37" s="8" t="n">
        <f aca="false">M22+M23+M24+M25+M26+M29+M30+M31+M33+M34+M35</f>
        <v>60725.7145885832</v>
      </c>
      <c r="N37" s="8" t="n">
        <f aca="false">N22+N23+N24+N25+N26+N29+N30+N31+N33+N34+N35</f>
        <v>62303.9089209311</v>
      </c>
      <c r="O37" s="8" t="n">
        <f aca="false">O22+O23+O24+O25+O26+O29+O30+O31+O33+O34+O35</f>
        <v>63905.9914558882</v>
      </c>
      <c r="P37" s="8" t="n">
        <f aca="false">P22+P23+P24+P25+P26+P29+P30+P31+P33+P34+P35</f>
        <v>65536.9356584777</v>
      </c>
      <c r="Q37" s="8" t="n">
        <f aca="false">Q22+Q23+Q24+Q25+Q26+Q29+Q30+Q31+Q33+Q34+Q35</f>
        <v>67201.8363929807</v>
      </c>
      <c r="R37" s="8" t="n">
        <f aca="false">R22+R23+R24+R25+R26+R29+R30+R31+R33+R34+R35</f>
        <v>68905.9260573242</v>
      </c>
      <c r="S37" s="8" t="n">
        <f aca="false">S22+S23+S24+S25+S26+S29+S30+S31+S33+S34+S35</f>
        <v>70654.59124301</v>
      </c>
      <c r="T37" s="8" t="n">
        <f aca="false">T22+T23+T24+T25+T26+T29+T30+T31+T33+T34+T35</f>
        <v>72453.3899742447</v>
      </c>
      <c r="U37" s="8" t="n">
        <f aca="false">U22+U23+U24+U25+U26+U29+U30+U31+U33+U34+U35</f>
        <v>74308.0695820408</v>
      </c>
      <c r="V37" s="8" t="n">
        <f aca="false">V22+V23+V24+V25+V26+V29+V30+V31+V33+V34+V35</f>
        <v>76224.5852713576</v>
      </c>
      <c r="W37" s="8" t="n">
        <f aca="false">W22+W23+W24+W25+W26+W29+W30+W31+W33+W34+W35</f>
        <v>78209.1194418336</v>
      </c>
      <c r="X37" s="8" t="n">
        <f aca="false">X22+X23+X24+X25+X26+X29+X30+X31+X33+X34+X35</f>
        <v>80268.1018253486</v>
      </c>
      <c r="Y37" s="8" t="n">
        <f aca="false">Y22+Y23+Y24+Y25+Y26+Y29+Y30+Y31+Y33+Y34+Y35</f>
        <v>82408.2305065441</v>
      </c>
    </row>
    <row r="38" customFormat="false" ht="15" hidden="false" customHeight="false" outlineLevel="0" collapsed="false">
      <c r="A38" s="9" t="s">
        <v>145</v>
      </c>
      <c r="B38" s="8" t="n">
        <f aca="false">B20-B37</f>
        <v>-34427.210016</v>
      </c>
      <c r="C38" s="8" t="n">
        <f aca="false">C20-C37</f>
        <v>-29570.16351168</v>
      </c>
      <c r="D38" s="8" t="n">
        <f aca="false">D20-D37</f>
        <v>-24793.0876414848</v>
      </c>
      <c r="E38" s="8" t="n">
        <f aca="false">E20-E37</f>
        <v>-20114.9745474644</v>
      </c>
      <c r="F38" s="8" t="n">
        <f aca="false">F20-F37</f>
        <v>-15518.1615691149</v>
      </c>
      <c r="G38" s="8" t="n">
        <f aca="false">G20-G37</f>
        <v>-10959.7538601442</v>
      </c>
      <c r="H38" s="8" t="n">
        <f aca="false">H20-H37</f>
        <v>-6426.34503431115</v>
      </c>
      <c r="I38" s="8" t="n">
        <f aca="false">I20-I37</f>
        <v>-1904.50985732021</v>
      </c>
      <c r="J38" s="8" t="n">
        <f aca="false">J20-J37</f>
        <v>2619.23616081769</v>
      </c>
      <c r="K38" s="8" t="n">
        <f aca="false">K20-K37</f>
        <v>7158.47763404503</v>
      </c>
      <c r="L38" s="8" t="n">
        <f aca="false">L20-L37</f>
        <v>11726.9407549671</v>
      </c>
      <c r="M38" s="8" t="n">
        <f aca="false">M20-M37</f>
        <v>16338.5354644805</v>
      </c>
      <c r="N38" s="8" t="n">
        <f aca="false">N20-N37</f>
        <v>21007.398467834</v>
      </c>
      <c r="O38" s="8" t="n">
        <f aca="false">O20-O37</f>
        <v>25747.9372320944</v>
      </c>
      <c r="P38" s="8" t="n">
        <f aca="false">P20-P37</f>
        <v>30574.8751038809</v>
      </c>
      <c r="Q38" s="8" t="n">
        <f aca="false">Q20-Q37</f>
        <v>35503.2976905616</v>
      </c>
      <c r="R38" s="8" t="n">
        <f aca="false">R20-R37</f>
        <v>40548.7006529008</v>
      </c>
      <c r="S38" s="8" t="n">
        <f aca="false">S20-S37</f>
        <v>45727.0390624149</v>
      </c>
      <c r="T38" s="8" t="n">
        <f aca="false">T20-T37</f>
        <v>51054.778482463</v>
      </c>
      <c r="U38" s="8" t="n">
        <f aca="false">U20-U37</f>
        <v>56548.9479383788</v>
      </c>
      <c r="V38" s="8" t="n">
        <f aca="false">V20-V37</f>
        <v>62227.1949487811</v>
      </c>
      <c r="W38" s="8" t="n">
        <f aca="false">W20-W37</f>
        <v>68107.8427975826</v>
      </c>
      <c r="X38" s="8" t="n">
        <f aca="false">X20-X37</f>
        <v>74209.9502341984</v>
      </c>
      <c r="Y38" s="8" t="n">
        <f aca="false">Y20-Y37</f>
        <v>80553.3737980532</v>
      </c>
    </row>
    <row r="39" customFormat="false" ht="15" hidden="false" customHeight="false" outlineLevel="0" collapsed="false">
      <c r="A39" s="9" t="s">
        <v>146</v>
      </c>
      <c r="B39" s="8" t="n">
        <f aca="false">B38</f>
        <v>-34427.210016</v>
      </c>
      <c r="C39" s="8" t="n">
        <f aca="false">B39+C38</f>
        <v>-63997.37352768</v>
      </c>
      <c r="D39" s="8" t="n">
        <f aca="false">C39+D38</f>
        <v>-88790.4611691648</v>
      </c>
      <c r="E39" s="8" t="n">
        <f aca="false">D39+E38</f>
        <v>-108905.435716629</v>
      </c>
      <c r="F39" s="8" t="n">
        <f aca="false">E39+F38</f>
        <v>-124423.597285744</v>
      </c>
      <c r="G39" s="8" t="n">
        <f aca="false">F39+G38</f>
        <v>-135383.351145888</v>
      </c>
      <c r="H39" s="8" t="n">
        <f aca="false">G39+H38</f>
        <v>-141809.696180199</v>
      </c>
      <c r="I39" s="8" t="n">
        <f aca="false">H39+I38</f>
        <v>-143714.20603752</v>
      </c>
      <c r="J39" s="8" t="n">
        <f aca="false">I39+J38</f>
        <v>-141094.969876702</v>
      </c>
      <c r="K39" s="8" t="n">
        <f aca="false">J39+K38</f>
        <v>-133936.492242657</v>
      </c>
      <c r="L39" s="8" t="n">
        <f aca="false">K39+L38</f>
        <v>-122209.55148769</v>
      </c>
      <c r="M39" s="8" t="n">
        <f aca="false">L39+M38</f>
        <v>-105871.016023209</v>
      </c>
      <c r="N39" s="8" t="n">
        <f aca="false">M39+N38</f>
        <v>-84863.6175553754</v>
      </c>
      <c r="O39" s="8" t="n">
        <f aca="false">N39+O38</f>
        <v>-59115.680323281</v>
      </c>
      <c r="P39" s="8" t="n">
        <f aca="false">O39+P38</f>
        <v>-28540.8052194001</v>
      </c>
      <c r="Q39" s="8" t="n">
        <f aca="false">P39+Q38</f>
        <v>6962.49247116153</v>
      </c>
      <c r="R39" s="8" t="n">
        <f aca="false">Q39+R38</f>
        <v>47511.1931240623</v>
      </c>
      <c r="S39" s="8" t="n">
        <f aca="false">R39+S38</f>
        <v>93238.2321864772</v>
      </c>
      <c r="T39" s="8" t="n">
        <f aca="false">S39+T38</f>
        <v>144293.01066894</v>
      </c>
      <c r="U39" s="8" t="n">
        <f aca="false">T39+U38</f>
        <v>200841.958607319</v>
      </c>
      <c r="V39" s="8" t="n">
        <f aca="false">U39+V38</f>
        <v>263069.1535561</v>
      </c>
      <c r="W39" s="8" t="n">
        <f aca="false">V39+W38</f>
        <v>331176.996353683</v>
      </c>
      <c r="X39" s="8" t="n">
        <f aca="false">W39+X38</f>
        <v>405386.946587881</v>
      </c>
      <c r="Y39" s="8" t="n">
        <f aca="false">X39+Y38</f>
        <v>485940.320385934</v>
      </c>
    </row>
    <row r="40" customFormat="false" ht="15" hidden="false" customHeight="false" outlineLevel="0" collapsed="false">
      <c r="A40" s="4" t="s">
        <v>147</v>
      </c>
      <c r="B40" s="17" t="n">
        <f aca="false">IF(B38&gt;=0,1,0)</f>
        <v>0</v>
      </c>
      <c r="C40" s="17" t="n">
        <f aca="false">IF(C38&gt;=0,1,0)</f>
        <v>0</v>
      </c>
      <c r="D40" s="17" t="n">
        <f aca="false">IF(D38&gt;=0,1,0)</f>
        <v>0</v>
      </c>
      <c r="E40" s="17" t="n">
        <f aca="false">IF(E38&gt;=0,1,0)</f>
        <v>0</v>
      </c>
      <c r="F40" s="17" t="n">
        <f aca="false">IF(F38&gt;=0,1,0)</f>
        <v>0</v>
      </c>
      <c r="G40" s="17" t="n">
        <f aca="false">IF(G38&gt;=0,1,0)</f>
        <v>0</v>
      </c>
      <c r="H40" s="17" t="n">
        <f aca="false">IF(H38&gt;=0,1,0)</f>
        <v>0</v>
      </c>
      <c r="I40" s="17" t="n">
        <f aca="false">IF(I38&gt;=0,1,0)</f>
        <v>0</v>
      </c>
      <c r="J40" s="17" t="n">
        <f aca="false">IF(J38&gt;=0,1,0)</f>
        <v>1</v>
      </c>
      <c r="K40" s="17" t="n">
        <f aca="false">IF(K38&gt;=0,1,0)</f>
        <v>1</v>
      </c>
      <c r="L40" s="17" t="n">
        <f aca="false">IF(L38&gt;=0,1,0)</f>
        <v>1</v>
      </c>
      <c r="M40" s="17" t="n">
        <f aca="false">IF(M38&gt;=0,1,0)</f>
        <v>1</v>
      </c>
      <c r="N40" s="17" t="n">
        <f aca="false">IF(N38&gt;=0,1,0)</f>
        <v>1</v>
      </c>
      <c r="O40" s="17" t="n">
        <f aca="false">IF(O38&gt;=0,1,0)</f>
        <v>1</v>
      </c>
      <c r="P40" s="17" t="n">
        <f aca="false">IF(P38&gt;=0,1,0)</f>
        <v>1</v>
      </c>
      <c r="Q40" s="17" t="n">
        <f aca="false">IF(Q38&gt;=0,1,0)</f>
        <v>1</v>
      </c>
      <c r="R40" s="17" t="n">
        <f aca="false">IF(R38&gt;=0,1,0)</f>
        <v>1</v>
      </c>
      <c r="S40" s="17" t="n">
        <f aca="false">IF(S38&gt;=0,1,0)</f>
        <v>1</v>
      </c>
      <c r="T40" s="17" t="n">
        <f aca="false">IF(T38&gt;=0,1,0)</f>
        <v>1</v>
      </c>
      <c r="U40" s="17" t="n">
        <f aca="false">IF(U38&gt;=0,1,0)</f>
        <v>1</v>
      </c>
      <c r="V40" s="17" t="n">
        <f aca="false">IF(V38&gt;=0,1,0)</f>
        <v>1</v>
      </c>
      <c r="W40" s="17" t="n">
        <f aca="false">IF(W38&gt;=0,1,0)</f>
        <v>1</v>
      </c>
      <c r="X40" s="17" t="n">
        <f aca="false">IF(X38&gt;=0,1,0)</f>
        <v>1</v>
      </c>
      <c r="Y40" s="17" t="n">
        <f aca="false">IF(Y38&gt;=0,1,0)</f>
        <v>1</v>
      </c>
    </row>
    <row r="41" customFormat="false" ht="15" hidden="false" customHeight="false" outlineLevel="0" collapsed="false">
      <c r="A41" s="4" t="s">
        <v>148</v>
      </c>
      <c r="B41" s="17" t="n">
        <f aca="false">IF(B39&gt;=0,1,0)</f>
        <v>0</v>
      </c>
      <c r="C41" s="17" t="n">
        <f aca="false">IF(C39&gt;=0,1,0)</f>
        <v>0</v>
      </c>
      <c r="D41" s="17" t="n">
        <f aca="false">IF(D39&gt;=0,1,0)</f>
        <v>0</v>
      </c>
      <c r="E41" s="17" t="n">
        <f aca="false">IF(E39&gt;=0,1,0)</f>
        <v>0</v>
      </c>
      <c r="F41" s="17" t="n">
        <f aca="false">IF(F39&gt;=0,1,0)</f>
        <v>0</v>
      </c>
      <c r="G41" s="17" t="n">
        <f aca="false">IF(G39&gt;=0,1,0)</f>
        <v>0</v>
      </c>
      <c r="H41" s="17" t="n">
        <f aca="false">IF(H39&gt;=0,1,0)</f>
        <v>0</v>
      </c>
      <c r="I41" s="17" t="n">
        <f aca="false">IF(I39&gt;=0,1,0)</f>
        <v>0</v>
      </c>
      <c r="J41" s="17" t="n">
        <f aca="false">IF(J39&gt;=0,1,0)</f>
        <v>0</v>
      </c>
      <c r="K41" s="17" t="n">
        <f aca="false">IF(K39&gt;=0,1,0)</f>
        <v>0</v>
      </c>
      <c r="L41" s="17" t="n">
        <f aca="false">IF(L39&gt;=0,1,0)</f>
        <v>0</v>
      </c>
      <c r="M41" s="17" t="n">
        <f aca="false">IF(M39&gt;=0,1,0)</f>
        <v>0</v>
      </c>
      <c r="N41" s="17" t="n">
        <f aca="false">IF(N39&gt;=0,1,0)</f>
        <v>0</v>
      </c>
      <c r="O41" s="17" t="n">
        <f aca="false">IF(O39&gt;=0,1,0)</f>
        <v>0</v>
      </c>
      <c r="P41" s="17" t="n">
        <f aca="false">IF(P39&gt;=0,1,0)</f>
        <v>0</v>
      </c>
      <c r="Q41" s="17" t="n">
        <f aca="false">IF(Q39&gt;=0,1,0)</f>
        <v>1</v>
      </c>
      <c r="R41" s="17" t="n">
        <f aca="false">IF(R39&gt;=0,1,0)</f>
        <v>1</v>
      </c>
      <c r="S41" s="17" t="n">
        <f aca="false">IF(S39&gt;=0,1,0)</f>
        <v>1</v>
      </c>
      <c r="T41" s="17" t="n">
        <f aca="false">IF(T39&gt;=0,1,0)</f>
        <v>1</v>
      </c>
      <c r="U41" s="17" t="n">
        <f aca="false">IF(U39&gt;=0,1,0)</f>
        <v>1</v>
      </c>
      <c r="V41" s="17" t="n">
        <f aca="false">IF(V39&gt;=0,1,0)</f>
        <v>1</v>
      </c>
      <c r="W41" s="17" t="n">
        <f aca="false">IF(W39&gt;=0,1,0)</f>
        <v>1</v>
      </c>
      <c r="X41" s="17" t="n">
        <f aca="false">IF(X39&gt;=0,1,0)</f>
        <v>1</v>
      </c>
      <c r="Y41" s="17" t="n">
        <f aca="false">IF(Y39&gt;=0,1,0)</f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Y4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4"/>
    <col collapsed="false" customWidth="true" hidden="false" outlineLevel="0" max="25" min="2" style="0" width="12"/>
  </cols>
  <sheetData>
    <row r="1" customFormat="false" ht="17.35" hidden="false" customHeight="false" outlineLevel="0" collapsed="false">
      <c r="A1" s="1" t="s">
        <v>150</v>
      </c>
    </row>
    <row r="3" customFormat="false" ht="15" hidden="false" customHeight="false" outlineLevel="0" collapsed="false">
      <c r="A3" s="3" t="s">
        <v>113</v>
      </c>
      <c r="B3" s="3" t="n">
        <v>1</v>
      </c>
      <c r="C3" s="3" t="n">
        <v>2</v>
      </c>
      <c r="D3" s="3" t="n">
        <v>3</v>
      </c>
      <c r="E3" s="3" t="n">
        <v>4</v>
      </c>
      <c r="F3" s="3" t="n">
        <v>5</v>
      </c>
      <c r="G3" s="3" t="n">
        <v>6</v>
      </c>
      <c r="H3" s="3" t="n">
        <v>7</v>
      </c>
      <c r="I3" s="3" t="n">
        <v>8</v>
      </c>
      <c r="J3" s="3" t="n">
        <v>9</v>
      </c>
      <c r="K3" s="3" t="n">
        <v>10</v>
      </c>
      <c r="L3" s="3" t="n">
        <v>11</v>
      </c>
      <c r="M3" s="3" t="n">
        <v>12</v>
      </c>
      <c r="N3" s="3" t="n">
        <v>13</v>
      </c>
      <c r="O3" s="3" t="n">
        <v>14</v>
      </c>
      <c r="P3" s="3" t="n">
        <v>15</v>
      </c>
      <c r="Q3" s="3" t="n">
        <v>16</v>
      </c>
      <c r="R3" s="3" t="n">
        <v>17</v>
      </c>
      <c r="S3" s="3" t="n">
        <v>18</v>
      </c>
      <c r="T3" s="3" t="n">
        <v>19</v>
      </c>
      <c r="U3" s="3" t="n">
        <v>20</v>
      </c>
      <c r="V3" s="3" t="n">
        <v>21</v>
      </c>
      <c r="W3" s="3" t="n">
        <v>22</v>
      </c>
      <c r="X3" s="3" t="n">
        <v>23</v>
      </c>
      <c r="Y3" s="3" t="n">
        <v>24</v>
      </c>
    </row>
    <row r="4" customFormat="false" ht="15" hidden="false" customHeight="false" outlineLevel="0" collapsed="false">
      <c r="A4" s="9" t="s">
        <v>114</v>
      </c>
    </row>
    <row r="5" customFormat="false" ht="15" hidden="false" customHeight="false" outlineLevel="0" collapsed="false">
      <c r="A5" s="4" t="s">
        <v>115</v>
      </c>
      <c r="B5" s="5" t="n">
        <f aca="false">Параметры!$D$39</f>
        <v>1200</v>
      </c>
      <c r="C5" s="5" t="n">
        <f aca="false">B5*(1+Параметры!$D$40)</f>
        <v>1320</v>
      </c>
      <c r="D5" s="5" t="n">
        <f aca="false">C5*(1+Параметры!$D$40)</f>
        <v>1452</v>
      </c>
      <c r="E5" s="5" t="n">
        <f aca="false">D5*(1+Параметры!$D$40)</f>
        <v>1597.2</v>
      </c>
      <c r="F5" s="5" t="n">
        <f aca="false">E5*(1+Параметры!$D$40)</f>
        <v>1756.92</v>
      </c>
      <c r="G5" s="5" t="n">
        <f aca="false">F5*(1+Параметры!$D$40)</f>
        <v>1932.612</v>
      </c>
      <c r="H5" s="5" t="n">
        <f aca="false">G5*(1+Параметры!$D$40)</f>
        <v>2125.8732</v>
      </c>
      <c r="I5" s="5" t="n">
        <f aca="false">H5*(1+Параметры!$D$40)</f>
        <v>2338.46052</v>
      </c>
      <c r="J5" s="5" t="n">
        <f aca="false">I5*(1+Параметры!$D$40)</f>
        <v>2572.306572</v>
      </c>
      <c r="K5" s="5" t="n">
        <f aca="false">J5*(1+Параметры!$D$40)</f>
        <v>2829.5372292</v>
      </c>
      <c r="L5" s="5" t="n">
        <f aca="false">K5*(1+Параметры!$D$40)</f>
        <v>3112.49095212</v>
      </c>
      <c r="M5" s="5" t="n">
        <f aca="false">L5*(1+Параметры!$D$40)</f>
        <v>3423.740047332</v>
      </c>
      <c r="N5" s="5" t="n">
        <f aca="false">M5*(1+Параметры!$D$40)</f>
        <v>3766.1140520652</v>
      </c>
      <c r="O5" s="5" t="n">
        <f aca="false">N5*(1+Параметры!$D$40)</f>
        <v>4142.72545727172</v>
      </c>
      <c r="P5" s="5" t="n">
        <f aca="false">O5*(1+Параметры!$D$40)</f>
        <v>4556.9980029989</v>
      </c>
      <c r="Q5" s="5" t="n">
        <f aca="false">P5*(1+Параметры!$D$40)</f>
        <v>5012.69780329879</v>
      </c>
      <c r="R5" s="5" t="n">
        <f aca="false">Q5*(1+Параметры!$D$40)</f>
        <v>5513.96758362867</v>
      </c>
      <c r="S5" s="5" t="n">
        <f aca="false">R5*(1+Параметры!$D$40)</f>
        <v>6065.36434199153</v>
      </c>
      <c r="T5" s="5" t="n">
        <f aca="false">S5*(1+Параметры!$D$40)</f>
        <v>6671.90077619069</v>
      </c>
      <c r="U5" s="5" t="n">
        <f aca="false">T5*(1+Параметры!$D$40)</f>
        <v>7339.09085380976</v>
      </c>
      <c r="V5" s="5" t="n">
        <f aca="false">U5*(1+Параметры!$D$40)</f>
        <v>8072.99993919073</v>
      </c>
      <c r="W5" s="5" t="n">
        <f aca="false">V5*(1+Параметры!$D$40)</f>
        <v>8880.29993310981</v>
      </c>
      <c r="X5" s="5" t="n">
        <f aca="false">W5*(1+Параметры!$D$40)</f>
        <v>9768.32992642079</v>
      </c>
      <c r="Y5" s="5" t="n">
        <f aca="false">X5*(1+Параметры!$D$40)</f>
        <v>10745.1629190629</v>
      </c>
    </row>
    <row r="6" customFormat="false" ht="15" hidden="false" customHeight="false" outlineLevel="0" collapsed="false">
      <c r="A6" s="4" t="s">
        <v>116</v>
      </c>
      <c r="B6" s="5" t="n">
        <f aca="false">IF(Параметры!$D$42&gt;0,Параметры!$D$41/Параметры!$D$42,0)</f>
        <v>2500</v>
      </c>
      <c r="C6" s="5" t="n">
        <f aca="false">IF(Параметры!$D$42&gt;0,Параметры!$D$41/Параметры!$D$42,0)</f>
        <v>2500</v>
      </c>
      <c r="D6" s="5" t="n">
        <f aca="false">IF(Параметры!$D$42&gt;0,Параметры!$D$41/Параметры!$D$42,0)</f>
        <v>2500</v>
      </c>
      <c r="E6" s="5" t="n">
        <f aca="false">IF(Параметры!$D$42&gt;0,Параметры!$D$41/Параметры!$D$42,0)</f>
        <v>2500</v>
      </c>
      <c r="F6" s="5" t="n">
        <f aca="false">IF(Параметры!$D$42&gt;0,Параметры!$D$41/Параметры!$D$42,0)</f>
        <v>2500</v>
      </c>
      <c r="G6" s="5" t="n">
        <f aca="false">IF(Параметры!$D$42&gt;0,Параметры!$D$41/Параметры!$D$42,0)</f>
        <v>2500</v>
      </c>
      <c r="H6" s="5" t="n">
        <f aca="false">IF(Параметры!$D$42&gt;0,Параметры!$D$41/Параметры!$D$42,0)</f>
        <v>2500</v>
      </c>
      <c r="I6" s="5" t="n">
        <f aca="false">IF(Параметры!$D$42&gt;0,Параметры!$D$41/Параметры!$D$42,0)</f>
        <v>2500</v>
      </c>
      <c r="J6" s="5" t="n">
        <f aca="false">IF(Параметры!$D$42&gt;0,Параметры!$D$41/Параметры!$D$42,0)</f>
        <v>2500</v>
      </c>
      <c r="K6" s="5" t="n">
        <f aca="false">IF(Параметры!$D$42&gt;0,Параметры!$D$41/Параметры!$D$42,0)</f>
        <v>2500</v>
      </c>
      <c r="L6" s="5" t="n">
        <f aca="false">IF(Параметры!$D$42&gt;0,Параметры!$D$41/Параметры!$D$42,0)</f>
        <v>2500</v>
      </c>
      <c r="M6" s="5" t="n">
        <f aca="false">IF(Параметры!$D$42&gt;0,Параметры!$D$41/Параметры!$D$42,0)</f>
        <v>2500</v>
      </c>
      <c r="N6" s="5" t="n">
        <f aca="false">IF(Параметры!$D$42&gt;0,Параметры!$D$41/Параметры!$D$42,0)</f>
        <v>2500</v>
      </c>
      <c r="O6" s="5" t="n">
        <f aca="false">IF(Параметры!$D$42&gt;0,Параметры!$D$41/Параметры!$D$42,0)</f>
        <v>2500</v>
      </c>
      <c r="P6" s="5" t="n">
        <f aca="false">IF(Параметры!$D$42&gt;0,Параметры!$D$41/Параметры!$D$42,0)</f>
        <v>2500</v>
      </c>
      <c r="Q6" s="5" t="n">
        <f aca="false">IF(Параметры!$D$42&gt;0,Параметры!$D$41/Параметры!$D$42,0)</f>
        <v>2500</v>
      </c>
      <c r="R6" s="5" t="n">
        <f aca="false">IF(Параметры!$D$42&gt;0,Параметры!$D$41/Параметры!$D$42,0)</f>
        <v>2500</v>
      </c>
      <c r="S6" s="5" t="n">
        <f aca="false">IF(Параметры!$D$42&gt;0,Параметры!$D$41/Параметры!$D$42,0)</f>
        <v>2500</v>
      </c>
      <c r="T6" s="5" t="n">
        <f aca="false">IF(Параметры!$D$42&gt;0,Параметры!$D$41/Параметры!$D$42,0)</f>
        <v>2500</v>
      </c>
      <c r="U6" s="5" t="n">
        <f aca="false">IF(Параметры!$D$42&gt;0,Параметры!$D$41/Параметры!$D$42,0)</f>
        <v>2500</v>
      </c>
      <c r="V6" s="5" t="n">
        <f aca="false">IF(Параметры!$D$42&gt;0,Параметры!$D$41/Параметры!$D$42,0)</f>
        <v>2500</v>
      </c>
      <c r="W6" s="5" t="n">
        <f aca="false">IF(Параметры!$D$42&gt;0,Параметры!$D$41/Параметры!$D$42,0)</f>
        <v>2500</v>
      </c>
      <c r="X6" s="5" t="n">
        <f aca="false">IF(Параметры!$D$42&gt;0,Параметры!$D$41/Параметры!$D$42,0)</f>
        <v>2500</v>
      </c>
      <c r="Y6" s="5" t="n">
        <f aca="false">IF(Параметры!$D$42&gt;0,Параметры!$D$41/Параметры!$D$42,0)</f>
        <v>2500</v>
      </c>
    </row>
    <row r="7" customFormat="false" ht="15" hidden="false" customHeight="false" outlineLevel="0" collapsed="false">
      <c r="A7" s="4" t="s">
        <v>117</v>
      </c>
      <c r="B7" s="17" t="n">
        <f aca="false">B5+B6</f>
        <v>3700</v>
      </c>
      <c r="C7" s="17" t="n">
        <f aca="false">C5+C6</f>
        <v>3820</v>
      </c>
      <c r="D7" s="17" t="n">
        <f aca="false">D5+D6</f>
        <v>3952</v>
      </c>
      <c r="E7" s="17" t="n">
        <f aca="false">E5+E6</f>
        <v>4097.2</v>
      </c>
      <c r="F7" s="17" t="n">
        <f aca="false">F5+F6</f>
        <v>4256.92</v>
      </c>
      <c r="G7" s="17" t="n">
        <f aca="false">G5+G6</f>
        <v>4432.612</v>
      </c>
      <c r="H7" s="17" t="n">
        <f aca="false">H5+H6</f>
        <v>4625.8732</v>
      </c>
      <c r="I7" s="17" t="n">
        <f aca="false">I5+I6</f>
        <v>4838.46052</v>
      </c>
      <c r="J7" s="17" t="n">
        <f aca="false">J5+J6</f>
        <v>5072.306572</v>
      </c>
      <c r="K7" s="17" t="n">
        <f aca="false">K5+K6</f>
        <v>5329.5372292</v>
      </c>
      <c r="L7" s="17" t="n">
        <f aca="false">L5+L6</f>
        <v>5612.49095212</v>
      </c>
      <c r="M7" s="17" t="n">
        <f aca="false">M5+M6</f>
        <v>5923.740047332</v>
      </c>
      <c r="N7" s="17" t="n">
        <f aca="false">N5+N6</f>
        <v>6266.1140520652</v>
      </c>
      <c r="O7" s="17" t="n">
        <f aca="false">O5+O6</f>
        <v>6642.72545727172</v>
      </c>
      <c r="P7" s="17" t="n">
        <f aca="false">P5+P6</f>
        <v>7056.9980029989</v>
      </c>
      <c r="Q7" s="17" t="n">
        <f aca="false">Q5+Q6</f>
        <v>7512.69780329879</v>
      </c>
      <c r="R7" s="17" t="n">
        <f aca="false">R5+R6</f>
        <v>8013.96758362867</v>
      </c>
      <c r="S7" s="17" t="n">
        <f aca="false">S5+S6</f>
        <v>8565.36434199153</v>
      </c>
      <c r="T7" s="17" t="n">
        <f aca="false">T5+T6</f>
        <v>9171.90077619069</v>
      </c>
      <c r="U7" s="17" t="n">
        <f aca="false">U5+U6</f>
        <v>9839.09085380976</v>
      </c>
      <c r="V7" s="17" t="n">
        <f aca="false">V5+V6</f>
        <v>10572.9999391907</v>
      </c>
      <c r="W7" s="17" t="n">
        <f aca="false">W5+W6</f>
        <v>11380.2999331098</v>
      </c>
      <c r="X7" s="17" t="n">
        <f aca="false">X5+X6</f>
        <v>12268.3299264208</v>
      </c>
      <c r="Y7" s="17" t="n">
        <f aca="false">Y5+Y6</f>
        <v>13245.1629190629</v>
      </c>
    </row>
    <row r="8" customFormat="false" ht="15" hidden="false" customHeight="false" outlineLevel="0" collapsed="false">
      <c r="A8" s="4" t="s">
        <v>118</v>
      </c>
      <c r="B8" s="5" t="n">
        <f aca="false">B7*Параметры!$D$44</f>
        <v>296</v>
      </c>
      <c r="C8" s="5" t="n">
        <f aca="false">C7*Параметры!$D$44</f>
        <v>305.6</v>
      </c>
      <c r="D8" s="5" t="n">
        <f aca="false">D7*Параметры!$D$44</f>
        <v>316.16</v>
      </c>
      <c r="E8" s="5" t="n">
        <f aca="false">E7*Параметры!$D$44</f>
        <v>327.776</v>
      </c>
      <c r="F8" s="5" t="n">
        <f aca="false">F7*Параметры!$D$44</f>
        <v>340.5536</v>
      </c>
      <c r="G8" s="5" t="n">
        <f aca="false">G7*Параметры!$D$44</f>
        <v>354.60896</v>
      </c>
      <c r="H8" s="5" t="n">
        <f aca="false">H7*Параметры!$D$44</f>
        <v>370.069856</v>
      </c>
      <c r="I8" s="5" t="n">
        <f aca="false">I7*Параметры!$D$44</f>
        <v>387.0768416</v>
      </c>
      <c r="J8" s="5" t="n">
        <f aca="false">J7*Параметры!$D$44</f>
        <v>405.78452576</v>
      </c>
      <c r="K8" s="5" t="n">
        <f aca="false">K7*Параметры!$D$44</f>
        <v>426.362978336</v>
      </c>
      <c r="L8" s="5" t="n">
        <f aca="false">L7*Параметры!$D$44</f>
        <v>448.9992761696</v>
      </c>
      <c r="M8" s="5" t="n">
        <f aca="false">M7*Параметры!$D$44</f>
        <v>473.89920378656</v>
      </c>
      <c r="N8" s="5" t="n">
        <f aca="false">N7*Параметры!$D$44</f>
        <v>501.289124165216</v>
      </c>
      <c r="O8" s="5" t="n">
        <f aca="false">O7*Параметры!$D$44</f>
        <v>531.418036581738</v>
      </c>
      <c r="P8" s="5" t="n">
        <f aca="false">P7*Параметры!$D$44</f>
        <v>564.559840239912</v>
      </c>
      <c r="Q8" s="5" t="n">
        <f aca="false">Q7*Параметры!$D$44</f>
        <v>601.015824263903</v>
      </c>
      <c r="R8" s="5" t="n">
        <f aca="false">R7*Параметры!$D$44</f>
        <v>641.117406690293</v>
      </c>
      <c r="S8" s="5" t="n">
        <f aca="false">S7*Параметры!$D$44</f>
        <v>685.229147359323</v>
      </c>
      <c r="T8" s="5" t="n">
        <f aca="false">T7*Параметры!$D$44</f>
        <v>733.752062095255</v>
      </c>
      <c r="U8" s="5" t="n">
        <f aca="false">U7*Параметры!$D$44</f>
        <v>787.127268304781</v>
      </c>
      <c r="V8" s="5" t="n">
        <f aca="false">V7*Параметры!$D$44</f>
        <v>845.839995135259</v>
      </c>
      <c r="W8" s="5" t="n">
        <f aca="false">W7*Параметры!$D$44</f>
        <v>910.423994648784</v>
      </c>
      <c r="X8" s="5" t="n">
        <f aca="false">X7*Параметры!$D$44</f>
        <v>981.466394113663</v>
      </c>
      <c r="Y8" s="5" t="n">
        <f aca="false">Y7*Параметры!$D$44</f>
        <v>1059.61303352503</v>
      </c>
    </row>
    <row r="9" customFormat="false" ht="15" hidden="false" customHeight="false" outlineLevel="0" collapsed="false">
      <c r="A9" s="4" t="s">
        <v>119</v>
      </c>
      <c r="B9" s="5" t="n">
        <f aca="false">B8*Параметры!$D$45</f>
        <v>20.72</v>
      </c>
      <c r="C9" s="5" t="n">
        <f aca="false">C8*Параметры!$D$45</f>
        <v>21.392</v>
      </c>
      <c r="D9" s="5" t="n">
        <f aca="false">D8*Параметры!$D$45</f>
        <v>22.1312</v>
      </c>
      <c r="E9" s="5" t="n">
        <f aca="false">E8*Параметры!$D$45</f>
        <v>22.94432</v>
      </c>
      <c r="F9" s="5" t="n">
        <f aca="false">F8*Параметры!$D$45</f>
        <v>23.838752</v>
      </c>
      <c r="G9" s="5" t="n">
        <f aca="false">G8*Параметры!$D$45</f>
        <v>24.8226272</v>
      </c>
      <c r="H9" s="5" t="n">
        <f aca="false">H8*Параметры!$D$45</f>
        <v>25.90488992</v>
      </c>
      <c r="I9" s="5" t="n">
        <f aca="false">I8*Параметры!$D$45</f>
        <v>27.095378912</v>
      </c>
      <c r="J9" s="5" t="n">
        <f aca="false">J8*Параметры!$D$45</f>
        <v>28.4049168032</v>
      </c>
      <c r="K9" s="5" t="n">
        <f aca="false">K8*Параметры!$D$45</f>
        <v>29.84540848352</v>
      </c>
      <c r="L9" s="5" t="n">
        <f aca="false">L8*Параметры!$D$45</f>
        <v>31.429949331872</v>
      </c>
      <c r="M9" s="5" t="n">
        <f aca="false">M8*Параметры!$D$45</f>
        <v>33.1729442650592</v>
      </c>
      <c r="N9" s="5" t="n">
        <f aca="false">N8*Параметры!$D$45</f>
        <v>35.0902386915651</v>
      </c>
      <c r="O9" s="5" t="n">
        <f aca="false">O8*Параметры!$D$45</f>
        <v>37.1992625607217</v>
      </c>
      <c r="P9" s="5" t="n">
        <f aca="false">P8*Параметры!$D$45</f>
        <v>39.5191888167938</v>
      </c>
      <c r="Q9" s="5" t="n">
        <f aca="false">Q8*Параметры!$D$45</f>
        <v>42.0711076984732</v>
      </c>
      <c r="R9" s="5" t="n">
        <f aca="false">R8*Параметры!$D$45</f>
        <v>44.8782184683205</v>
      </c>
      <c r="S9" s="5" t="n">
        <f aca="false">S8*Параметры!$D$45</f>
        <v>47.9660403151526</v>
      </c>
      <c r="T9" s="5" t="n">
        <f aca="false">T8*Параметры!$D$45</f>
        <v>51.3626443466679</v>
      </c>
      <c r="U9" s="5" t="n">
        <f aca="false">U8*Параметры!$D$45</f>
        <v>55.0989087813346</v>
      </c>
      <c r="V9" s="5" t="n">
        <f aca="false">V8*Параметры!$D$45</f>
        <v>59.2087996594681</v>
      </c>
      <c r="W9" s="5" t="n">
        <f aca="false">W8*Параметры!$D$45</f>
        <v>63.7296796254149</v>
      </c>
      <c r="X9" s="5" t="n">
        <f aca="false">X8*Параметры!$D$45</f>
        <v>68.7026475879564</v>
      </c>
      <c r="Y9" s="5" t="n">
        <f aca="false">Y8*Параметры!$D$45</f>
        <v>74.1729123467521</v>
      </c>
    </row>
    <row r="10" customFormat="false" ht="15" hidden="false" customHeight="false" outlineLevel="0" collapsed="false">
      <c r="A10" s="4" t="s">
        <v>120</v>
      </c>
      <c r="B10" s="5" t="n">
        <f aca="false">B8*Параметры!$D$46</f>
        <v>14.8</v>
      </c>
      <c r="C10" s="5" t="n">
        <f aca="false">C8*Параметры!$D$46</f>
        <v>15.28</v>
      </c>
      <c r="D10" s="5" t="n">
        <f aca="false">D8*Параметры!$D$46</f>
        <v>15.808</v>
      </c>
      <c r="E10" s="5" t="n">
        <f aca="false">E8*Параметры!$D$46</f>
        <v>16.3888</v>
      </c>
      <c r="F10" s="5" t="n">
        <f aca="false">F8*Параметры!$D$46</f>
        <v>17.02768</v>
      </c>
      <c r="G10" s="5" t="n">
        <f aca="false">G8*Параметры!$D$46</f>
        <v>17.730448</v>
      </c>
      <c r="H10" s="5" t="n">
        <f aca="false">H8*Параметры!$D$46</f>
        <v>18.5034928</v>
      </c>
      <c r="I10" s="5" t="n">
        <f aca="false">I8*Параметры!$D$46</f>
        <v>19.35384208</v>
      </c>
      <c r="J10" s="5" t="n">
        <f aca="false">J8*Параметры!$D$46</f>
        <v>20.289226288</v>
      </c>
      <c r="K10" s="5" t="n">
        <f aca="false">K8*Параметры!$D$46</f>
        <v>21.3181489168</v>
      </c>
      <c r="L10" s="5" t="n">
        <f aca="false">L8*Параметры!$D$46</f>
        <v>22.44996380848</v>
      </c>
      <c r="M10" s="5" t="n">
        <f aca="false">M8*Параметры!$D$46</f>
        <v>23.694960189328</v>
      </c>
      <c r="N10" s="5" t="n">
        <f aca="false">N8*Параметры!$D$46</f>
        <v>25.0644562082608</v>
      </c>
      <c r="O10" s="5" t="n">
        <f aca="false">O8*Параметры!$D$46</f>
        <v>26.5709018290869</v>
      </c>
      <c r="P10" s="5" t="n">
        <f aca="false">P8*Параметры!$D$46</f>
        <v>28.2279920119956</v>
      </c>
      <c r="Q10" s="5" t="n">
        <f aca="false">Q8*Параметры!$D$46</f>
        <v>30.0507912131951</v>
      </c>
      <c r="R10" s="5" t="n">
        <f aca="false">R8*Параметры!$D$46</f>
        <v>32.0558703345147</v>
      </c>
      <c r="S10" s="5" t="n">
        <f aca="false">S8*Параметры!$D$46</f>
        <v>34.2614573679661</v>
      </c>
      <c r="T10" s="5" t="n">
        <f aca="false">T8*Параметры!$D$46</f>
        <v>36.6876031047628</v>
      </c>
      <c r="U10" s="5" t="n">
        <f aca="false">U8*Параметры!$D$46</f>
        <v>39.356363415239</v>
      </c>
      <c r="V10" s="5" t="n">
        <f aca="false">V8*Параметры!$D$46</f>
        <v>42.2919997567629</v>
      </c>
      <c r="W10" s="5" t="n">
        <f aca="false">W8*Параметры!$D$46</f>
        <v>45.5211997324392</v>
      </c>
      <c r="X10" s="5" t="n">
        <f aca="false">X8*Параметры!$D$46</f>
        <v>49.0733197056832</v>
      </c>
      <c r="Y10" s="5" t="n">
        <f aca="false">Y8*Параметры!$D$46</f>
        <v>52.9806516762515</v>
      </c>
    </row>
    <row r="11" customFormat="false" ht="15" hidden="false" customHeight="false" outlineLevel="0" collapsed="false">
      <c r="A11" s="9" t="s">
        <v>121</v>
      </c>
    </row>
    <row r="12" customFormat="false" ht="15" hidden="false" customHeight="false" outlineLevel="0" collapsed="false">
      <c r="A12" s="4" t="s">
        <v>122</v>
      </c>
      <c r="B12" s="17" t="n">
        <f aca="false">0</f>
        <v>0</v>
      </c>
      <c r="C12" s="5" t="n">
        <f aca="false">B13*Параметры!$D$47</f>
        <v>0.6216</v>
      </c>
      <c r="D12" s="5" t="n">
        <f aca="false">C13*Параметры!$D$47</f>
        <v>1.244712</v>
      </c>
      <c r="E12" s="5" t="n">
        <f aca="false">D13*Параметры!$D$47</f>
        <v>1.87130664</v>
      </c>
      <c r="F12" s="5" t="n">
        <f aca="false">E13*Параметры!$D$47</f>
        <v>2.5034970408</v>
      </c>
      <c r="G12" s="5" t="n">
        <f aca="false">F13*Параметры!$D$47</f>
        <v>3.143554689576</v>
      </c>
      <c r="H12" s="5" t="n">
        <f aca="false">G13*Параметры!$D$47</f>
        <v>3.79392686488872</v>
      </c>
      <c r="I12" s="5" t="n">
        <f aca="false">H13*Параметры!$D$47</f>
        <v>4.45725575654206</v>
      </c>
      <c r="J12" s="5" t="n">
        <f aca="false">I13*Параметры!$D$47</f>
        <v>5.1363994512058</v>
      </c>
      <c r="K12" s="5" t="n">
        <f aca="false">J13*Параметры!$D$47</f>
        <v>5.83445497176562</v>
      </c>
      <c r="L12" s="5" t="n">
        <f aca="false">K13*Параметры!$D$47</f>
        <v>6.55478357711826</v>
      </c>
      <c r="M12" s="5" t="n">
        <f aca="false">L13*Параметры!$D$47</f>
        <v>7.30103854976087</v>
      </c>
      <c r="N12" s="5" t="n">
        <f aca="false">M13*Параметры!$D$47</f>
        <v>8.07719572121982</v>
      </c>
      <c r="O12" s="5" t="n">
        <f aca="false">N13*Параметры!$D$47</f>
        <v>8.88758701033018</v>
      </c>
      <c r="P12" s="5" t="n">
        <f aca="false">O13*Параметры!$D$47</f>
        <v>9.73693727684193</v>
      </c>
      <c r="Q12" s="5" t="n">
        <f aca="false">P13*Параметры!$D$47</f>
        <v>10.6304048230405</v>
      </c>
      <c r="R12" s="5" t="n">
        <f aca="false">Q13*Параметры!$D$47</f>
        <v>11.5736259093035</v>
      </c>
      <c r="S12" s="5" t="n">
        <f aca="false">R13*Параметры!$D$47</f>
        <v>12.572763686074</v>
      </c>
      <c r="T12" s="5" t="n">
        <f aca="false">S13*Параметры!$D$47</f>
        <v>13.6345619849463</v>
      </c>
      <c r="U12" s="5" t="n">
        <f aca="false">T13*Параметры!$D$47</f>
        <v>14.766404455798</v>
      </c>
      <c r="V12" s="5" t="n">
        <f aca="false">U13*Параметры!$D$47</f>
        <v>15.9763795855641</v>
      </c>
      <c r="W12" s="5" t="n">
        <f aca="false">V13*Параметры!$D$47</f>
        <v>17.2733521877812</v>
      </c>
      <c r="X12" s="5" t="n">
        <f aca="false">W13*Параметры!$D$47</f>
        <v>18.6670420109102</v>
      </c>
      <c r="Y12" s="5" t="n">
        <f aca="false">X13*Параметры!$D$47</f>
        <v>20.1681101782216</v>
      </c>
    </row>
    <row r="13" customFormat="false" ht="15" hidden="false" customHeight="false" outlineLevel="0" collapsed="false">
      <c r="A13" s="9" t="s">
        <v>123</v>
      </c>
      <c r="B13" s="17" t="n">
        <f aca="false">B9</f>
        <v>20.72</v>
      </c>
      <c r="C13" s="17" t="n">
        <f aca="false">B13+C9-C12</f>
        <v>41.4904</v>
      </c>
      <c r="D13" s="17" t="n">
        <f aca="false">C13+D9-D12</f>
        <v>62.376888</v>
      </c>
      <c r="E13" s="17" t="n">
        <f aca="false">D13+E9-E12</f>
        <v>83.44990136</v>
      </c>
      <c r="F13" s="17" t="n">
        <f aca="false">E13+F9-F12</f>
        <v>104.7851563192</v>
      </c>
      <c r="G13" s="17" t="n">
        <f aca="false">F13+G9-G12</f>
        <v>126.464228829624</v>
      </c>
      <c r="H13" s="17" t="n">
        <f aca="false">G13+H9-H12</f>
        <v>148.575191884735</v>
      </c>
      <c r="I13" s="17" t="n">
        <f aca="false">H13+I9-I12</f>
        <v>171.213315040193</v>
      </c>
      <c r="J13" s="17" t="n">
        <f aca="false">I13+J9-J12</f>
        <v>194.481832392188</v>
      </c>
      <c r="K13" s="17" t="n">
        <f aca="false">J13+K9-K12</f>
        <v>218.492785903942</v>
      </c>
      <c r="L13" s="17" t="n">
        <f aca="false">K13+L9-L12</f>
        <v>243.367951658696</v>
      </c>
      <c r="M13" s="17" t="n">
        <f aca="false">L13+M9-M12</f>
        <v>269.239857373994</v>
      </c>
      <c r="N13" s="17" t="n">
        <f aca="false">M13+N9-N12</f>
        <v>296.252900344339</v>
      </c>
      <c r="O13" s="17" t="n">
        <f aca="false">N13+O9-O12</f>
        <v>324.564575894731</v>
      </c>
      <c r="P13" s="17" t="n">
        <f aca="false">O13+P9-P12</f>
        <v>354.346827434683</v>
      </c>
      <c r="Q13" s="17" t="n">
        <f aca="false">P13+Q9-Q12</f>
        <v>385.787530310115</v>
      </c>
      <c r="R13" s="17" t="n">
        <f aca="false">Q13+R9-R12</f>
        <v>419.092122869133</v>
      </c>
      <c r="S13" s="17" t="n">
        <f aca="false">R13+S9-S12</f>
        <v>454.485399498211</v>
      </c>
      <c r="T13" s="17" t="n">
        <f aca="false">S13+T9-T12</f>
        <v>492.213481859933</v>
      </c>
      <c r="U13" s="17" t="n">
        <f aca="false">T13+U9-U12</f>
        <v>532.545986185469</v>
      </c>
      <c r="V13" s="17" t="n">
        <f aca="false">U13+V9-V12</f>
        <v>575.778406259373</v>
      </c>
      <c r="W13" s="17" t="n">
        <f aca="false">V13+W9-W12</f>
        <v>622.234733697007</v>
      </c>
      <c r="X13" s="17" t="n">
        <f aca="false">W13+X9-X12</f>
        <v>672.270339274053</v>
      </c>
      <c r="Y13" s="17" t="n">
        <f aca="false">X13+Y9-Y12</f>
        <v>726.275141442584</v>
      </c>
    </row>
    <row r="14" customFormat="false" ht="15" hidden="false" customHeight="false" outlineLevel="0" collapsed="false">
      <c r="A14" s="4" t="s">
        <v>124</v>
      </c>
      <c r="B14" s="5" t="n">
        <f aca="false">B13*Параметры!$D$49</f>
        <v>12.432</v>
      </c>
      <c r="C14" s="5" t="n">
        <f aca="false">C13*Параметры!$D$49</f>
        <v>24.89424</v>
      </c>
      <c r="D14" s="5" t="n">
        <f aca="false">D13*Параметры!$D$49</f>
        <v>37.4261328</v>
      </c>
      <c r="E14" s="5" t="n">
        <f aca="false">E13*Параметры!$D$49</f>
        <v>50.069940816</v>
      </c>
      <c r="F14" s="5" t="n">
        <f aca="false">F13*Параметры!$D$49</f>
        <v>62.87109379152</v>
      </c>
      <c r="G14" s="5" t="n">
        <f aca="false">G13*Параметры!$D$49</f>
        <v>75.8785372977744</v>
      </c>
      <c r="H14" s="5" t="n">
        <f aca="false">H13*Параметры!$D$49</f>
        <v>89.1451151308412</v>
      </c>
      <c r="I14" s="5" t="n">
        <f aca="false">I13*Параметры!$D$49</f>
        <v>102.727989024116</v>
      </c>
      <c r="J14" s="5" t="n">
        <f aca="false">J13*Параметры!$D$49</f>
        <v>116.689099435313</v>
      </c>
      <c r="K14" s="5" t="n">
        <f aca="false">K13*Параметры!$D$49</f>
        <v>131.095671542365</v>
      </c>
      <c r="L14" s="5" t="n">
        <f aca="false">L13*Параметры!$D$49</f>
        <v>146.020770995217</v>
      </c>
      <c r="M14" s="5" t="n">
        <f aca="false">M13*Параметры!$D$49</f>
        <v>161.543914424396</v>
      </c>
      <c r="N14" s="5" t="n">
        <f aca="false">N13*Параметры!$D$49</f>
        <v>177.751740206604</v>
      </c>
      <c r="O14" s="5" t="n">
        <f aca="false">O13*Параметры!$D$49</f>
        <v>194.738745536838</v>
      </c>
      <c r="P14" s="5" t="n">
        <f aca="false">P13*Параметры!$D$49</f>
        <v>212.60809646081</v>
      </c>
      <c r="Q14" s="5" t="n">
        <f aca="false">Q13*Параметры!$D$49</f>
        <v>231.472518186069</v>
      </c>
      <c r="R14" s="5" t="n">
        <f aca="false">R13*Параметры!$D$49</f>
        <v>251.45527372148</v>
      </c>
      <c r="S14" s="5" t="n">
        <f aca="false">S13*Параметры!$D$49</f>
        <v>272.691239698927</v>
      </c>
      <c r="T14" s="5" t="n">
        <f aca="false">T13*Параметры!$D$49</f>
        <v>295.32808911596</v>
      </c>
      <c r="U14" s="5" t="n">
        <f aca="false">U13*Параметры!$D$49</f>
        <v>319.527591711282</v>
      </c>
      <c r="V14" s="5" t="n">
        <f aca="false">V13*Параметры!$D$49</f>
        <v>345.467043755624</v>
      </c>
      <c r="W14" s="5" t="n">
        <f aca="false">W13*Параметры!$D$49</f>
        <v>373.340840218204</v>
      </c>
      <c r="X14" s="5" t="n">
        <f aca="false">X13*Параметры!$D$49</f>
        <v>403.362203564432</v>
      </c>
      <c r="Y14" s="5" t="n">
        <f aca="false">Y13*Параметры!$D$49</f>
        <v>435.76508486555</v>
      </c>
    </row>
    <row r="15" customFormat="false" ht="15" hidden="false" customHeight="false" outlineLevel="0" collapsed="false">
      <c r="A15" s="4" t="s">
        <v>125</v>
      </c>
      <c r="B15" s="5" t="n">
        <f aca="false">B13*Параметры!$D$50</f>
        <v>6.216</v>
      </c>
      <c r="C15" s="5" t="n">
        <f aca="false">C13*Параметры!$D$50</f>
        <v>12.44712</v>
      </c>
      <c r="D15" s="5" t="n">
        <f aca="false">D13*Параметры!$D$50</f>
        <v>18.7130664</v>
      </c>
      <c r="E15" s="5" t="n">
        <f aca="false">E13*Параметры!$D$50</f>
        <v>25.034970408</v>
      </c>
      <c r="F15" s="5" t="n">
        <f aca="false">F13*Параметры!$D$50</f>
        <v>31.43554689576</v>
      </c>
      <c r="G15" s="5" t="n">
        <f aca="false">G13*Параметры!$D$50</f>
        <v>37.9392686488872</v>
      </c>
      <c r="H15" s="5" t="n">
        <f aca="false">H13*Параметры!$D$50</f>
        <v>44.5725575654206</v>
      </c>
      <c r="I15" s="5" t="n">
        <f aca="false">I13*Параметры!$D$50</f>
        <v>51.363994512058</v>
      </c>
      <c r="J15" s="5" t="n">
        <f aca="false">J13*Параметры!$D$50</f>
        <v>58.3445497176563</v>
      </c>
      <c r="K15" s="5" t="n">
        <f aca="false">K13*Параметры!$D$50</f>
        <v>65.5478357711826</v>
      </c>
      <c r="L15" s="5" t="n">
        <f aca="false">L13*Параметры!$D$50</f>
        <v>73.0103854976087</v>
      </c>
      <c r="M15" s="5" t="n">
        <f aca="false">M13*Параметры!$D$50</f>
        <v>80.7719572121982</v>
      </c>
      <c r="N15" s="5" t="n">
        <f aca="false">N13*Параметры!$D$50</f>
        <v>88.8758701033018</v>
      </c>
      <c r="O15" s="5" t="n">
        <f aca="false">O13*Параметры!$D$50</f>
        <v>97.3693727684192</v>
      </c>
      <c r="P15" s="5" t="n">
        <f aca="false">P13*Параметры!$D$50</f>
        <v>106.304048230405</v>
      </c>
      <c r="Q15" s="5" t="n">
        <f aca="false">Q13*Параметры!$D$50</f>
        <v>115.736259093035</v>
      </c>
      <c r="R15" s="5" t="n">
        <f aca="false">R13*Параметры!$D$50</f>
        <v>125.72763686074</v>
      </c>
      <c r="S15" s="5" t="n">
        <f aca="false">S13*Параметры!$D$50</f>
        <v>136.345619849463</v>
      </c>
      <c r="T15" s="5" t="n">
        <f aca="false">T13*Параметры!$D$50</f>
        <v>147.66404455798</v>
      </c>
      <c r="U15" s="5" t="n">
        <f aca="false">U13*Параметры!$D$50</f>
        <v>159.763795855641</v>
      </c>
      <c r="V15" s="5" t="n">
        <f aca="false">V13*Параметры!$D$50</f>
        <v>172.733521877812</v>
      </c>
      <c r="W15" s="5" t="n">
        <f aca="false">W13*Параметры!$D$50</f>
        <v>186.670420109102</v>
      </c>
      <c r="X15" s="5" t="n">
        <f aca="false">X13*Параметры!$D$50</f>
        <v>201.681101782216</v>
      </c>
      <c r="Y15" s="5" t="n">
        <f aca="false">Y13*Параметры!$D$50</f>
        <v>217.882542432775</v>
      </c>
    </row>
    <row r="16" customFormat="false" ht="15" hidden="false" customHeight="false" outlineLevel="0" collapsed="false">
      <c r="A16" s="4" t="s">
        <v>126</v>
      </c>
      <c r="B16" s="5" t="n">
        <f aca="false">B13*Параметры!$D$51</f>
        <v>2.072</v>
      </c>
      <c r="C16" s="5" t="n">
        <f aca="false">C13*Параметры!$D$51</f>
        <v>4.14904</v>
      </c>
      <c r="D16" s="5" t="n">
        <f aca="false">D13*Параметры!$D$51</f>
        <v>6.2376888</v>
      </c>
      <c r="E16" s="5" t="n">
        <f aca="false">E13*Параметры!$D$51</f>
        <v>8.344990136</v>
      </c>
      <c r="F16" s="5" t="n">
        <f aca="false">F13*Параметры!$D$51</f>
        <v>10.47851563192</v>
      </c>
      <c r="G16" s="5" t="n">
        <f aca="false">G13*Параметры!$D$51</f>
        <v>12.6464228829624</v>
      </c>
      <c r="H16" s="5" t="n">
        <f aca="false">H13*Параметры!$D$51</f>
        <v>14.8575191884735</v>
      </c>
      <c r="I16" s="5" t="n">
        <f aca="false">I13*Параметры!$D$51</f>
        <v>17.1213315040193</v>
      </c>
      <c r="J16" s="5" t="n">
        <f aca="false">J13*Параметры!$D$51</f>
        <v>19.4481832392188</v>
      </c>
      <c r="K16" s="5" t="n">
        <f aca="false">K13*Параметры!$D$51</f>
        <v>21.8492785903942</v>
      </c>
      <c r="L16" s="5" t="n">
        <f aca="false">L13*Параметры!$D$51</f>
        <v>24.3367951658696</v>
      </c>
      <c r="M16" s="5" t="n">
        <f aca="false">M13*Параметры!$D$51</f>
        <v>26.9239857373994</v>
      </c>
      <c r="N16" s="5" t="n">
        <f aca="false">N13*Параметры!$D$51</f>
        <v>29.6252900344339</v>
      </c>
      <c r="O16" s="5" t="n">
        <f aca="false">O13*Параметры!$D$51</f>
        <v>32.4564575894731</v>
      </c>
      <c r="P16" s="5" t="n">
        <f aca="false">P13*Параметры!$D$51</f>
        <v>35.4346827434683</v>
      </c>
      <c r="Q16" s="5" t="n">
        <f aca="false">Q13*Параметры!$D$51</f>
        <v>38.5787530310116</v>
      </c>
      <c r="R16" s="5" t="n">
        <f aca="false">R13*Параметры!$D$51</f>
        <v>41.9092122869133</v>
      </c>
      <c r="S16" s="5" t="n">
        <f aca="false">S13*Параметры!$D$51</f>
        <v>45.4485399498211</v>
      </c>
      <c r="T16" s="5" t="n">
        <f aca="false">T13*Параметры!$D$51</f>
        <v>49.2213481859933</v>
      </c>
      <c r="U16" s="5" t="n">
        <f aca="false">U13*Параметры!$D$51</f>
        <v>53.2545986185469</v>
      </c>
      <c r="V16" s="5" t="n">
        <f aca="false">V13*Параметры!$D$51</f>
        <v>57.5778406259373</v>
      </c>
      <c r="W16" s="5" t="n">
        <f aca="false">W13*Параметры!$D$51</f>
        <v>62.2234733697007</v>
      </c>
      <c r="X16" s="5" t="n">
        <f aca="false">X13*Параметры!$D$51</f>
        <v>67.2270339274053</v>
      </c>
      <c r="Y16" s="5" t="n">
        <f aca="false">Y13*Параметры!$D$51</f>
        <v>72.6275141442584</v>
      </c>
    </row>
    <row r="17" customFormat="false" ht="15" hidden="false" customHeight="false" outlineLevel="0" collapsed="false">
      <c r="A17" s="9" t="s">
        <v>127</v>
      </c>
    </row>
    <row r="18" customFormat="false" ht="15" hidden="false" customHeight="false" outlineLevel="0" collapsed="false">
      <c r="A18" s="4" t="s">
        <v>128</v>
      </c>
      <c r="B18" s="6" t="n">
        <f aca="false">B14*Параметры!$D$6+B15*Параметры!$D$7+B16*Параметры!$D$8</f>
        <v>82486.32</v>
      </c>
      <c r="C18" s="6" t="n">
        <f aca="false">C14*Параметры!$D$6+C15*Параметры!$D$7+C16*Параметры!$D$8</f>
        <v>165173.2824</v>
      </c>
      <c r="D18" s="6" t="n">
        <f aca="false">D14*Параметры!$D$6+D15*Параметры!$D$7+D16*Параметры!$D$8</f>
        <v>248322.391128</v>
      </c>
      <c r="E18" s="6" t="n">
        <f aca="false">E14*Параметры!$D$6+E15*Параметры!$D$7+E16*Параметры!$D$8</f>
        <v>332214.05731416</v>
      </c>
      <c r="F18" s="6" t="n">
        <f aca="false">F14*Параметры!$D$6+F15*Параметры!$D$7+F16*Параметры!$D$8</f>
        <v>417149.707306735</v>
      </c>
      <c r="G18" s="6" t="n">
        <f aca="false">G14*Параметры!$D$6+G15*Параметры!$D$7+G16*Параметры!$D$8</f>
        <v>503454.094970733</v>
      </c>
      <c r="H18" s="6" t="n">
        <f aca="false">H14*Параметры!$D$6+H15*Параметры!$D$7+H16*Параметры!$D$8</f>
        <v>591477.838893131</v>
      </c>
      <c r="I18" s="6" t="n">
        <f aca="false">I14*Параметры!$D$6+I15*Параметры!$D$7+I16*Параметры!$D$8</f>
        <v>681600.207175009</v>
      </c>
      <c r="J18" s="6" t="n">
        <f aca="false">J14*Параметры!$D$6+J15*Параметры!$D$7+J16*Параметры!$D$8</f>
        <v>774232.174753298</v>
      </c>
      <c r="K18" s="6" t="n">
        <f aca="false">K14*Параметры!$D$6+K15*Параметры!$D$7+K16*Параметры!$D$8</f>
        <v>869819.780683593</v>
      </c>
      <c r="L18" s="6" t="n">
        <f aca="false">L14*Параметры!$D$6+L15*Параметры!$D$7+L16*Параметры!$D$8</f>
        <v>968847.815553267</v>
      </c>
      <c r="M18" s="6" t="n">
        <f aca="false">M14*Параметры!$D$6+M15*Параметры!$D$7+M16*Параметры!$D$8</f>
        <v>1071843.87220587</v>
      </c>
      <c r="N18" s="6" t="n">
        <f aca="false">N14*Параметры!$D$6+N15*Параметры!$D$7+N16*Параметры!$D$8</f>
        <v>1179382.79627082</v>
      </c>
      <c r="O18" s="6" t="n">
        <f aca="false">O14*Параметры!$D$6+O15*Параметры!$D$7+O16*Параметры!$D$8</f>
        <v>1292091.57663692</v>
      </c>
      <c r="P18" s="6" t="n">
        <f aca="false">P14*Параметры!$D$6+P15*Параметры!$D$7+P16*Параметры!$D$8</f>
        <v>1410654.72001747</v>
      </c>
      <c r="Q18" s="6" t="n">
        <f aca="false">Q14*Параметры!$D$6+Q15*Параметры!$D$7+Q16*Параметры!$D$8</f>
        <v>1535820.15816457</v>
      </c>
      <c r="R18" s="6" t="n">
        <f aca="false">R14*Параметры!$D$6+R15*Параметры!$D$7+R16*Параметры!$D$8</f>
        <v>1668405.74114202</v>
      </c>
      <c r="S18" s="6" t="n">
        <f aca="false">S14*Параметры!$D$6+S15*Параметры!$D$7+S16*Параметры!$D$8</f>
        <v>1809306.37540238</v>
      </c>
      <c r="T18" s="6" t="n">
        <f aca="false">T14*Параметры!$D$6+T15*Параметры!$D$7+T16*Параметры!$D$8</f>
        <v>1959501.87128439</v>
      </c>
      <c r="U18" s="6" t="n">
        <f aca="false">U14*Параметры!$D$6+U15*Параметры!$D$7+U16*Параметры!$D$8</f>
        <v>2120065.57100435</v>
      </c>
      <c r="V18" s="6" t="n">
        <f aca="false">V14*Параметры!$D$6+V15*Параметры!$D$7+V16*Параметры!$D$8</f>
        <v>2292173.83531857</v>
      </c>
      <c r="W18" s="6" t="n">
        <f aca="false">W14*Параметры!$D$6+W15*Параметры!$D$7+W16*Параметры!$D$8</f>
        <v>2477116.47484778</v>
      </c>
      <c r="X18" s="6" t="n">
        <f aca="false">X14*Параметры!$D$6+X15*Параметры!$D$7+X16*Параметры!$D$8</f>
        <v>2676308.22065001</v>
      </c>
      <c r="Y18" s="6" t="n">
        <f aca="false">Y14*Параметры!$D$6+Y15*Параметры!$D$7+Y16*Параметры!$D$8</f>
        <v>2891301.33808293</v>
      </c>
    </row>
    <row r="19" customFormat="false" ht="15" hidden="false" customHeight="false" outlineLevel="0" collapsed="false">
      <c r="A19" s="4" t="s">
        <v>120</v>
      </c>
      <c r="B19" s="6" t="n">
        <f aca="false">B10*Параметры!$D$9</f>
        <v>29452</v>
      </c>
      <c r="C19" s="6" t="n">
        <f aca="false">C10*Параметры!$D$9</f>
        <v>30407.2</v>
      </c>
      <c r="D19" s="6" t="n">
        <f aca="false">D10*Параметры!$D$9</f>
        <v>31457.92</v>
      </c>
      <c r="E19" s="6" t="n">
        <f aca="false">E10*Параметры!$D$9</f>
        <v>32613.712</v>
      </c>
      <c r="F19" s="6" t="n">
        <f aca="false">F10*Параметры!$D$9</f>
        <v>33885.0832</v>
      </c>
      <c r="G19" s="6" t="n">
        <f aca="false">G10*Параметры!$D$9</f>
        <v>35283.59152</v>
      </c>
      <c r="H19" s="6" t="n">
        <f aca="false">H10*Параметры!$D$9</f>
        <v>36821.950672</v>
      </c>
      <c r="I19" s="6" t="n">
        <f aca="false">I10*Параметры!$D$9</f>
        <v>38514.1457392</v>
      </c>
      <c r="J19" s="6" t="n">
        <f aca="false">J10*Параметры!$D$9</f>
        <v>40375.56031312</v>
      </c>
      <c r="K19" s="6" t="n">
        <f aca="false">K10*Параметры!$D$9</f>
        <v>42423.116344432</v>
      </c>
      <c r="L19" s="6" t="n">
        <f aca="false">L10*Параметры!$D$9</f>
        <v>44675.4279788752</v>
      </c>
      <c r="M19" s="6" t="n">
        <f aca="false">M10*Параметры!$D$9</f>
        <v>47152.9707767628</v>
      </c>
      <c r="N19" s="6" t="n">
        <f aca="false">N10*Параметры!$D$9</f>
        <v>49878.267854439</v>
      </c>
      <c r="O19" s="6" t="n">
        <f aca="false">O10*Параметры!$D$9</f>
        <v>52876.0946398829</v>
      </c>
      <c r="P19" s="6" t="n">
        <f aca="false">P10*Параметры!$D$9</f>
        <v>56173.7041038712</v>
      </c>
      <c r="Q19" s="6" t="n">
        <f aca="false">Q10*Параметры!$D$9</f>
        <v>59801.0745142583</v>
      </c>
      <c r="R19" s="6" t="n">
        <f aca="false">R10*Параметры!$D$9</f>
        <v>63791.1819656842</v>
      </c>
      <c r="S19" s="6" t="n">
        <f aca="false">S10*Параметры!$D$9</f>
        <v>68180.3001622526</v>
      </c>
      <c r="T19" s="6" t="n">
        <f aca="false">T10*Параметры!$D$9</f>
        <v>73008.3301784779</v>
      </c>
      <c r="U19" s="6" t="n">
        <f aca="false">U10*Параметры!$D$9</f>
        <v>78319.1631963257</v>
      </c>
      <c r="V19" s="6" t="n">
        <f aca="false">V10*Параметры!$D$9</f>
        <v>84161.0795159582</v>
      </c>
      <c r="W19" s="6" t="n">
        <f aca="false">W10*Параметры!$D$9</f>
        <v>90587.1874675541</v>
      </c>
      <c r="X19" s="6" t="n">
        <f aca="false">X10*Параметры!$D$9</f>
        <v>97655.9062143095</v>
      </c>
      <c r="Y19" s="6" t="n">
        <f aca="false">Y10*Параметры!$D$9</f>
        <v>105431.49683574</v>
      </c>
    </row>
    <row r="20" customFormat="false" ht="15" hidden="false" customHeight="false" outlineLevel="0" collapsed="false">
      <c r="A20" s="9" t="s">
        <v>129</v>
      </c>
      <c r="B20" s="8" t="n">
        <f aca="false">B18+B19</f>
        <v>111938.32</v>
      </c>
      <c r="C20" s="8" t="n">
        <f aca="false">C18+C19</f>
        <v>195580.4824</v>
      </c>
      <c r="D20" s="8" t="n">
        <f aca="false">D18+D19</f>
        <v>279780.311128</v>
      </c>
      <c r="E20" s="8" t="n">
        <f aca="false">E18+E19</f>
        <v>364827.76931416</v>
      </c>
      <c r="F20" s="8" t="n">
        <f aca="false">F18+F19</f>
        <v>451034.790506735</v>
      </c>
      <c r="G20" s="8" t="n">
        <f aca="false">G18+G19</f>
        <v>538737.686490733</v>
      </c>
      <c r="H20" s="8" t="n">
        <f aca="false">H18+H19</f>
        <v>628299.789565131</v>
      </c>
      <c r="I20" s="8" t="n">
        <f aca="false">I18+I19</f>
        <v>720114.35291421</v>
      </c>
      <c r="J20" s="8" t="n">
        <f aca="false">J18+J19</f>
        <v>814607.735066418</v>
      </c>
      <c r="K20" s="8" t="n">
        <f aca="false">K18+K19</f>
        <v>912242.897028025</v>
      </c>
      <c r="L20" s="8" t="n">
        <f aca="false">L18+L19</f>
        <v>1013523.24353214</v>
      </c>
      <c r="M20" s="8" t="n">
        <f aca="false">M18+M19</f>
        <v>1118996.84298263</v>
      </c>
      <c r="N20" s="8" t="n">
        <f aca="false">N18+N19</f>
        <v>1229261.06412525</v>
      </c>
      <c r="O20" s="8" t="n">
        <f aca="false">O18+O19</f>
        <v>1344967.67127681</v>
      </c>
      <c r="P20" s="8" t="n">
        <f aca="false">P18+P19</f>
        <v>1466828.42412134</v>
      </c>
      <c r="Q20" s="8" t="n">
        <f aca="false">Q18+Q19</f>
        <v>1595621.23267883</v>
      </c>
      <c r="R20" s="8" t="n">
        <f aca="false">R18+R19</f>
        <v>1732196.9231077</v>
      </c>
      <c r="S20" s="8" t="n">
        <f aca="false">S18+S19</f>
        <v>1877486.67556463</v>
      </c>
      <c r="T20" s="8" t="n">
        <f aca="false">T18+T19</f>
        <v>2032510.20146287</v>
      </c>
      <c r="U20" s="8" t="n">
        <f aca="false">U18+U19</f>
        <v>2198384.73420068</v>
      </c>
      <c r="V20" s="8" t="n">
        <f aca="false">V18+V19</f>
        <v>2376334.91483452</v>
      </c>
      <c r="W20" s="8" t="n">
        <f aca="false">W18+W19</f>
        <v>2567703.66231534</v>
      </c>
      <c r="X20" s="8" t="n">
        <f aca="false">X18+X19</f>
        <v>2773964.12686432</v>
      </c>
      <c r="Y20" s="8" t="n">
        <f aca="false">Y18+Y19</f>
        <v>2996732.83491867</v>
      </c>
    </row>
    <row r="21" customFormat="false" ht="15" hidden="false" customHeight="false" outlineLevel="0" collapsed="false">
      <c r="A21" s="9" t="s">
        <v>130</v>
      </c>
    </row>
    <row r="22" customFormat="false" ht="15" hidden="false" customHeight="false" outlineLevel="0" collapsed="false">
      <c r="A22" s="4" t="s">
        <v>131</v>
      </c>
      <c r="B22" s="6" t="n">
        <f aca="false">(B14*Параметры!$D$11+B15*Параметры!$D$12+B16*Параметры!$D$13)*Параметры!$D$16</f>
        <v>9668.988</v>
      </c>
      <c r="C22" s="6" t="n">
        <f aca="false">(C14*Параметры!$D$11+C15*Параметры!$D$12+C16*Параметры!$D$13)*Параметры!$D$16</f>
        <v>19361.49516</v>
      </c>
      <c r="D22" s="6" t="n">
        <f aca="false">(D14*Параметры!$D$11+D15*Параметры!$D$12+D16*Параметры!$D$13)*Параметры!$D$16</f>
        <v>29108.1747852</v>
      </c>
      <c r="E22" s="6" t="n">
        <f aca="false">(E14*Параметры!$D$11+E15*Параметры!$D$12+E16*Параметры!$D$13)*Параметры!$D$16</f>
        <v>38941.896469644</v>
      </c>
      <c r="F22" s="6" t="n">
        <f aca="false">(F14*Параметры!$D$11+F15*Параметры!$D$12+F16*Параметры!$D$13)*Параметры!$D$16</f>
        <v>48897.9931963547</v>
      </c>
      <c r="G22" s="6" t="n">
        <f aca="false">(G14*Параметры!$D$11+G15*Параметры!$D$12+G16*Параметры!$D$13)*Параметры!$D$16</f>
        <v>59014.5323833441</v>
      </c>
      <c r="H22" s="6" t="n">
        <f aca="false">(H14*Параметры!$D$11+H15*Параметры!$D$12+H16*Параметры!$D$13)*Параметры!$D$16</f>
        <v>69332.6132930117</v>
      </c>
      <c r="I22" s="6" t="n">
        <f aca="false">(I14*Параметры!$D$11+I15*Параметры!$D$12+I16*Параметры!$D$13)*Параметры!$D$16</f>
        <v>79896.6934635062</v>
      </c>
      <c r="J22" s="6" t="n">
        <f aca="false">(J14*Параметры!$D$11+J15*Параметры!$D$12+J16*Параметры!$D$13)*Параметры!$D$16</f>
        <v>90754.9470858143</v>
      </c>
      <c r="K22" s="6" t="n">
        <f aca="false">(K14*Параметры!$D$11+K15*Параметры!$D$12+K16*Параметры!$D$13)*Параметры!$D$16</f>
        <v>101959.658542074</v>
      </c>
      <c r="L22" s="6" t="n">
        <f aca="false">(L14*Параметры!$D$11+L15*Параметры!$D$12+L16*Параметры!$D$13)*Параметры!$D$16</f>
        <v>113567.65464153</v>
      </c>
      <c r="M22" s="6" t="n">
        <f aca="false">(M14*Параметры!$D$11+M15*Параметры!$D$12+M16*Параметры!$D$13)*Параметры!$D$16</f>
        <v>125640.779443574</v>
      </c>
      <c r="N22" s="6" t="n">
        <f aca="false">(N14*Параметры!$D$11+N15*Параметры!$D$12+N16*Параметры!$D$13)*Параметры!$D$16</f>
        <v>138246.415945686</v>
      </c>
      <c r="O22" s="6" t="n">
        <f aca="false">(O14*Параметры!$D$11+O15*Параметры!$D$12+O16*Параметры!$D$13)*Параметры!$D$16</f>
        <v>151458.059341276</v>
      </c>
      <c r="P22" s="6" t="n">
        <f aca="false">(P14*Параметры!$D$11+P15*Параметры!$D$12+P16*Параметры!$D$13)*Параметры!$D$16</f>
        <v>165355.947022395</v>
      </c>
      <c r="Q22" s="6" t="n">
        <f aca="false">(Q14*Параметры!$D$11+Q15*Параметры!$D$12+Q16*Параметры!$D$13)*Параметры!$D$16</f>
        <v>180027.751019215</v>
      </c>
      <c r="R22" s="6" t="n">
        <f aca="false">(R14*Параметры!$D$11+R15*Параметры!$D$12+R16*Параметры!$D$13)*Параметры!$D$16</f>
        <v>195569.339136881</v>
      </c>
      <c r="S22" s="6" t="n">
        <f aca="false">(S14*Параметры!$D$11+S15*Параметры!$D$12+S16*Параметры!$D$13)*Параметры!$D$16</f>
        <v>212085.61167584</v>
      </c>
      <c r="T22" s="6" t="n">
        <f aca="false">(T14*Параметры!$D$11+T15*Параметры!$D$12+T16*Параметры!$D$13)*Параметры!$D$16</f>
        <v>229691.421309938</v>
      </c>
      <c r="U22" s="6" t="n">
        <f aca="false">(U14*Параметры!$D$11+U15*Параметры!$D$12+U16*Параметры!$D$13)*Параметры!$D$16</f>
        <v>248512.584453449</v>
      </c>
      <c r="V22" s="6" t="n">
        <f aca="false">(V14*Параметры!$D$11+V15*Параметры!$D$12+V16*Параметры!$D$13)*Параметры!$D$16</f>
        <v>268686.993280937</v>
      </c>
      <c r="W22" s="6" t="n">
        <f aca="false">(W14*Параметры!$D$11+W15*Параметры!$D$12+W16*Параметры!$D$13)*Параметры!$D$16</f>
        <v>290365.838479708</v>
      </c>
      <c r="X22" s="6" t="n">
        <f aca="false">(X14*Параметры!$D$11+X15*Параметры!$D$12+X16*Параметры!$D$13)*Параметры!$D$16</f>
        <v>313714.953822237</v>
      </c>
      <c r="Y22" s="6" t="n">
        <f aca="false">(Y14*Параметры!$D$11+Y15*Параметры!$D$12+Y16*Параметры!$D$13)*Параметры!$D$16</f>
        <v>338916.294754182</v>
      </c>
    </row>
    <row r="23" customFormat="false" ht="15" hidden="false" customHeight="false" outlineLevel="0" collapsed="false">
      <c r="A23" s="4" t="s">
        <v>132</v>
      </c>
      <c r="B23" s="6" t="n">
        <f aca="false">B10*Параметры!$D$14</f>
        <v>410.996</v>
      </c>
      <c r="C23" s="6" t="n">
        <f aca="false">C10*Параметры!$D$14</f>
        <v>424.3256</v>
      </c>
      <c r="D23" s="6" t="n">
        <f aca="false">D10*Параметры!$D$14</f>
        <v>438.98816</v>
      </c>
      <c r="E23" s="6" t="n">
        <f aca="false">E10*Параметры!$D$14</f>
        <v>455.116976</v>
      </c>
      <c r="F23" s="6" t="n">
        <f aca="false">F10*Параметры!$D$14</f>
        <v>472.8586736</v>
      </c>
      <c r="G23" s="6" t="n">
        <f aca="false">G10*Параметры!$D$14</f>
        <v>492.37454096</v>
      </c>
      <c r="H23" s="6" t="n">
        <f aca="false">H10*Параметры!$D$14</f>
        <v>513.841995056</v>
      </c>
      <c r="I23" s="6" t="n">
        <f aca="false">I10*Параметры!$D$14</f>
        <v>537.4561945616</v>
      </c>
      <c r="J23" s="6" t="n">
        <f aca="false">J10*Параметры!$D$14</f>
        <v>563.43181401776</v>
      </c>
      <c r="K23" s="6" t="n">
        <f aca="false">K10*Параметры!$D$14</f>
        <v>592.004995419536</v>
      </c>
      <c r="L23" s="6" t="n">
        <f aca="false">L10*Параметры!$D$14</f>
        <v>623.43549496149</v>
      </c>
      <c r="M23" s="6" t="n">
        <f aca="false">M10*Параметры!$D$14</f>
        <v>658.009044457639</v>
      </c>
      <c r="N23" s="6" t="n">
        <f aca="false">N10*Параметры!$D$14</f>
        <v>696.039948903403</v>
      </c>
      <c r="O23" s="6" t="n">
        <f aca="false">O10*Параметры!$D$14</f>
        <v>737.873943793743</v>
      </c>
      <c r="P23" s="6" t="n">
        <f aca="false">P10*Параметры!$D$14</f>
        <v>783.891338173117</v>
      </c>
      <c r="Q23" s="6" t="n">
        <f aca="false">Q10*Параметры!$D$14</f>
        <v>834.510471990429</v>
      </c>
      <c r="R23" s="6" t="n">
        <f aca="false">R10*Параметры!$D$14</f>
        <v>890.191519189472</v>
      </c>
      <c r="S23" s="6" t="n">
        <f aca="false">S10*Параметры!$D$14</f>
        <v>951.440671108419</v>
      </c>
      <c r="T23" s="6" t="n">
        <f aca="false">T10*Параметры!$D$14</f>
        <v>1018.81473821926</v>
      </c>
      <c r="U23" s="6" t="n">
        <f aca="false">U10*Параметры!$D$14</f>
        <v>1092.92621204119</v>
      </c>
      <c r="V23" s="6" t="n">
        <f aca="false">V10*Параметры!$D$14</f>
        <v>1174.44883324531</v>
      </c>
      <c r="W23" s="6" t="n">
        <f aca="false">W10*Параметры!$D$14</f>
        <v>1264.12371656984</v>
      </c>
      <c r="X23" s="6" t="n">
        <f aca="false">X10*Параметры!$D$14</f>
        <v>1362.76608822682</v>
      </c>
      <c r="Y23" s="6" t="n">
        <f aca="false">Y10*Параметры!$D$14</f>
        <v>1471.2726970495</v>
      </c>
    </row>
    <row r="24" customFormat="false" ht="15" hidden="false" customHeight="false" outlineLevel="0" collapsed="false">
      <c r="A24" s="4" t="s">
        <v>133</v>
      </c>
      <c r="B24" s="6" t="n">
        <f aca="false">B8*Параметры!$D$15</f>
        <v>118.4</v>
      </c>
      <c r="C24" s="6" t="n">
        <f aca="false">C8*Параметры!$D$15</f>
        <v>122.24</v>
      </c>
      <c r="D24" s="6" t="n">
        <f aca="false">D8*Параметры!$D$15</f>
        <v>126.464</v>
      </c>
      <c r="E24" s="6" t="n">
        <f aca="false">E8*Параметры!$D$15</f>
        <v>131.1104</v>
      </c>
      <c r="F24" s="6" t="n">
        <f aca="false">F8*Параметры!$D$15</f>
        <v>136.22144</v>
      </c>
      <c r="G24" s="6" t="n">
        <f aca="false">G8*Параметры!$D$15</f>
        <v>141.843584</v>
      </c>
      <c r="H24" s="6" t="n">
        <f aca="false">H8*Параметры!$D$15</f>
        <v>148.0279424</v>
      </c>
      <c r="I24" s="6" t="n">
        <f aca="false">I8*Параметры!$D$15</f>
        <v>154.83073664</v>
      </c>
      <c r="J24" s="6" t="n">
        <f aca="false">J8*Параметры!$D$15</f>
        <v>162.313810304</v>
      </c>
      <c r="K24" s="6" t="n">
        <f aca="false">K8*Параметры!$D$15</f>
        <v>170.5451913344</v>
      </c>
      <c r="L24" s="6" t="n">
        <f aca="false">L8*Параметры!$D$15</f>
        <v>179.59971046784</v>
      </c>
      <c r="M24" s="6" t="n">
        <f aca="false">M8*Параметры!$D$15</f>
        <v>189.559681514624</v>
      </c>
      <c r="N24" s="6" t="n">
        <f aca="false">N8*Параметры!$D$15</f>
        <v>200.515649666087</v>
      </c>
      <c r="O24" s="6" t="n">
        <f aca="false">O8*Параметры!$D$15</f>
        <v>212.567214632695</v>
      </c>
      <c r="P24" s="6" t="n">
        <f aca="false">P8*Параметры!$D$15</f>
        <v>225.823936095965</v>
      </c>
      <c r="Q24" s="6" t="n">
        <f aca="false">Q8*Параметры!$D$15</f>
        <v>240.406329705561</v>
      </c>
      <c r="R24" s="6" t="n">
        <f aca="false">R8*Параметры!$D$15</f>
        <v>256.446962676117</v>
      </c>
      <c r="S24" s="6" t="n">
        <f aca="false">S8*Параметры!$D$15</f>
        <v>274.091658943729</v>
      </c>
      <c r="T24" s="6" t="n">
        <f aca="false">T8*Параметры!$D$15</f>
        <v>293.500824838102</v>
      </c>
      <c r="U24" s="6" t="n">
        <f aca="false">U8*Параметры!$D$15</f>
        <v>314.850907321912</v>
      </c>
      <c r="V24" s="6" t="n">
        <f aca="false">V8*Параметры!$D$15</f>
        <v>338.335998054103</v>
      </c>
      <c r="W24" s="6" t="n">
        <f aca="false">W8*Параметры!$D$15</f>
        <v>364.169597859514</v>
      </c>
      <c r="X24" s="6" t="n">
        <f aca="false">X8*Параметры!$D$15</f>
        <v>392.586557645465</v>
      </c>
      <c r="Y24" s="6" t="n">
        <f aca="false">Y8*Параметры!$D$15</f>
        <v>423.845213410012</v>
      </c>
    </row>
    <row r="25" customFormat="false" ht="15" hidden="false" customHeight="false" outlineLevel="0" collapsed="false">
      <c r="A25" s="4" t="s">
        <v>134</v>
      </c>
      <c r="B25" s="6" t="n">
        <f aca="false">(B14*Параметры!$D$20+B15*Параметры!$D$21+B16*Параметры!$D$22)*Параметры!$D$16*Параметры!$D$18+B10*Параметры!$D$18+B8*Параметры!$D$19</f>
        <v>2639.8464</v>
      </c>
      <c r="C25" s="6" t="n">
        <f aca="false">(C14*Параметры!$D$20+C15*Параметры!$D$21+C16*Параметры!$D$22)*Параметры!$D$16*Параметры!$D$18+C10*Параметры!$D$18+C8*Параметры!$D$19</f>
        <v>3632.302848</v>
      </c>
      <c r="D25" s="6" t="n">
        <f aca="false">(D14*Параметры!$D$20+D15*Параметры!$D$21+D16*Параметры!$D$22)*Параметры!$D$16*Параметры!$D$18+D10*Параметры!$D$18+D8*Параметры!$D$19</f>
        <v>4635.52678656</v>
      </c>
      <c r="E25" s="6" t="n">
        <f aca="false">(E14*Параметры!$D$20+E15*Параметры!$D$21+E16*Параметры!$D$22)*Параметры!$D$16*Параметры!$D$18+E10*Параметры!$D$18+E8*Параметры!$D$19</f>
        <v>5653.2493093632</v>
      </c>
      <c r="F25" s="6" t="n">
        <f aca="false">(F14*Параметры!$D$20+F15*Параметры!$D$21+F16*Параметры!$D$22)*Параметры!$D$16*Параметры!$D$18+F10*Параметры!$D$18+F8*Параметры!$D$19</f>
        <v>6689.49498912231</v>
      </c>
      <c r="G25" s="6" t="n">
        <f aca="false">(G14*Параметры!$D$20+G15*Параметры!$D$21+G16*Параметры!$D$22)*Параметры!$D$16*Параметры!$D$18+G10*Параметры!$D$18+G8*Параметры!$D$19</f>
        <v>7748.61361439264</v>
      </c>
      <c r="H25" s="6" t="n">
        <f aca="false">(H14*Параметры!$D$20+H15*Параметры!$D$21+H16*Параметры!$D$22)*Параметры!$D$16*Параметры!$D$18+H10*Параметры!$D$18+H8*Параметры!$D$19</f>
        <v>8835.31502839926</v>
      </c>
      <c r="I25" s="6" t="n">
        <f aca="false">(I14*Параметры!$D$20+I15*Параметры!$D$21+I16*Параметры!$D$22)*Параметры!$D$16*Параметры!$D$18+I10*Параметры!$D$18+I8*Параметры!$D$19</f>
        <v>9954.70738222952</v>
      </c>
      <c r="J25" s="6" t="n">
        <f aca="false">(J14*Параметры!$D$20+J15*Параметры!$D$21+J16*Параметры!$D$22)*Параметры!$D$16*Параметры!$D$18+J10*Параметры!$D$18+J8*Параметры!$D$19</f>
        <v>11112.3391459131</v>
      </c>
      <c r="K25" s="6" t="n">
        <f aca="false">(K14*Параметры!$D$20+K15*Параметры!$D$21+K16*Параметры!$D$22)*Параметры!$D$16*Параметры!$D$18+K10*Параметры!$D$18+K8*Параметры!$D$19</f>
        <v>12314.2452552012</v>
      </c>
      <c r="L25" s="6" t="n">
        <f aca="false">(L14*Параметры!$D$20+L15*Параметры!$D$21+L16*Параметры!$D$22)*Параметры!$D$16*Параметры!$D$18+L10*Параметры!$D$18+L8*Параметры!$D$19</f>
        <v>13566.9978095772</v>
      </c>
      <c r="M25" s="6" t="n">
        <f aca="false">(M14*Параметры!$D$20+M15*Параметры!$D$21+M16*Параметры!$D$22)*Параметры!$D$16*Параметры!$D$18+M10*Параметры!$D$18+M8*Параметры!$D$19</f>
        <v>14877.7617785252</v>
      </c>
      <c r="N25" s="6" t="n">
        <f aca="false">(N14*Параметры!$D$20+N15*Параметры!$D$21+N16*Параметры!$D$22)*Параметры!$D$16*Параметры!$D$18+N10*Параметры!$D$18+N8*Параметры!$D$19</f>
        <v>16254.3562187282</v>
      </c>
      <c r="O25" s="6" t="n">
        <f aca="false">(O14*Параметры!$D$20+O15*Параметры!$D$21+O16*Параметры!$D$22)*Параметры!$D$16*Параметры!$D$18+O10*Параметры!$D$18+O8*Параметры!$D$19</f>
        <v>17705.3215550811</v>
      </c>
      <c r="P25" s="6" t="n">
        <f aca="false">(P14*Параметры!$D$20+P15*Параметры!$D$21+P16*Параметры!$D$22)*Параметры!$D$16*Параметры!$D$18+P10*Параметры!$D$18+P8*Параметры!$D$19</f>
        <v>19239.9935336348</v>
      </c>
      <c r="Q25" s="6" t="n">
        <f aca="false">(Q14*Параметры!$D$20+Q15*Параметры!$D$21+Q16*Параметры!$D$22)*Параметры!$D$16*Параметры!$D$18+Q10*Параметры!$D$18+Q8*Параметры!$D$19</f>
        <v>20868.5845153525</v>
      </c>
      <c r="R25" s="6" t="n">
        <f aca="false">(R14*Параметры!$D$20+R15*Параметры!$D$21+R16*Параметры!$D$22)*Параметры!$D$16*Параметры!$D$18+R10*Параметры!$D$18+R8*Параметры!$D$19</f>
        <v>22602.2728463913</v>
      </c>
      <c r="S25" s="6" t="n">
        <f aca="false">(S14*Параметры!$D$20+S15*Параметры!$D$21+S16*Параметры!$D$22)*Параметры!$D$16*Параметры!$D$18+S10*Параметры!$D$18+S8*Параметры!$D$19</f>
        <v>24453.301114149</v>
      </c>
      <c r="T25" s="6" t="n">
        <f aca="false">(T14*Параметры!$D$20+T15*Параметры!$D$21+T16*Параметры!$D$22)*Параметры!$D$16*Параметры!$D$18+T10*Параметры!$D$18+T8*Параметры!$D$19</f>
        <v>26435.0841791888</v>
      </c>
      <c r="U25" s="6" t="n">
        <f aca="false">(U14*Параметры!$D$20+U15*Параметры!$D$21+U16*Параметры!$D$22)*Параметры!$D$16*Параметры!$D$18+U10*Параметры!$D$18+U8*Параметры!$D$19</f>
        <v>28562.3279621239</v>
      </c>
      <c r="V25" s="6" t="n">
        <f aca="false">(V14*Параметры!$D$20+V15*Параметры!$D$21+V16*Параметры!$D$22)*Параметры!$D$16*Параметры!$D$18+V10*Параметры!$D$18+V8*Параметры!$D$19</f>
        <v>30851.160062402</v>
      </c>
      <c r="W25" s="6" t="n">
        <f aca="false">(W14*Параметры!$D$20+W15*Параметры!$D$21+W16*Параметры!$D$22)*Параметры!$D$16*Параметры!$D$18+W10*Параметры!$D$18+W8*Параметры!$D$19</f>
        <v>33319.273393586</v>
      </c>
      <c r="X25" s="6" t="n">
        <f aca="false">(X14*Параметры!$D$20+X15*Параметры!$D$21+X16*Параметры!$D$22)*Параметры!$D$16*Параметры!$D$18+X10*Параметры!$D$18+X8*Параметры!$D$19</f>
        <v>35986.08413814</v>
      </c>
      <c r="Y25" s="6" t="n">
        <f aca="false">(Y14*Параметры!$D$20+Y15*Параметры!$D$21+Y16*Параметры!$D$22)*Параметры!$D$16*Параметры!$D$18+Y10*Параметры!$D$18+Y8*Параметры!$D$19</f>
        <v>38872.9054549935</v>
      </c>
    </row>
    <row r="26" customFormat="false" ht="15" hidden="false" customHeight="false" outlineLevel="0" collapsed="false">
      <c r="A26" s="4" t="s">
        <v>62</v>
      </c>
      <c r="B26" s="6" t="n">
        <f aca="false">B20*Параметры!$D$24</f>
        <v>4253.65616</v>
      </c>
      <c r="C26" s="6" t="n">
        <f aca="false">C20*Параметры!$D$24</f>
        <v>7432.0583312</v>
      </c>
      <c r="D26" s="6" t="n">
        <f aca="false">D20*Параметры!$D$24</f>
        <v>10631.651822864</v>
      </c>
      <c r="E26" s="6" t="n">
        <f aca="false">E20*Параметры!$D$24</f>
        <v>13863.4552339381</v>
      </c>
      <c r="F26" s="6" t="n">
        <f aca="false">F20*Параметры!$D$24</f>
        <v>17139.3220392559</v>
      </c>
      <c r="G26" s="6" t="n">
        <f aca="false">G20*Параметры!$D$24</f>
        <v>20472.0320866479</v>
      </c>
      <c r="H26" s="6" t="n">
        <f aca="false">H20*Параметры!$D$24</f>
        <v>23875.392003475</v>
      </c>
      <c r="I26" s="6" t="n">
        <f aca="false">I20*Параметры!$D$24</f>
        <v>27364.34541074</v>
      </c>
      <c r="J26" s="6" t="n">
        <f aca="false">J20*Параметры!$D$24</f>
        <v>30955.0939325239</v>
      </c>
      <c r="K26" s="6" t="n">
        <f aca="false">K20*Параметры!$D$24</f>
        <v>34665.2300870649</v>
      </c>
      <c r="L26" s="6" t="n">
        <f aca="false">L20*Параметры!$D$24</f>
        <v>38513.8832542214</v>
      </c>
      <c r="M26" s="6" t="n">
        <f aca="false">M20*Параметры!$D$24</f>
        <v>42521.8800333401</v>
      </c>
      <c r="N26" s="6" t="n">
        <f aca="false">N20*Параметры!$D$24</f>
        <v>46711.9204367597</v>
      </c>
      <c r="O26" s="6" t="n">
        <f aca="false">O20*Параметры!$D$24</f>
        <v>51108.7715085186</v>
      </c>
      <c r="P26" s="6" t="n">
        <f aca="false">P20*Параметры!$D$24</f>
        <v>55739.480116611</v>
      </c>
      <c r="Q26" s="6" t="n">
        <f aca="false">Q20*Параметры!$D$24</f>
        <v>60633.6068417955</v>
      </c>
      <c r="R26" s="6" t="n">
        <f aca="false">R20*Параметры!$D$24</f>
        <v>65823.4830780926</v>
      </c>
      <c r="S26" s="6" t="n">
        <f aca="false">S20*Параметры!$D$24</f>
        <v>71344.493671456</v>
      </c>
      <c r="T26" s="6" t="n">
        <f aca="false">T20*Параметры!$D$24</f>
        <v>77235.3876555891</v>
      </c>
      <c r="U26" s="6" t="n">
        <f aca="false">U20*Параметры!$D$24</f>
        <v>83538.6198996258</v>
      </c>
      <c r="V26" s="6" t="n">
        <f aca="false">V20*Параметры!$D$24</f>
        <v>90300.7267637119</v>
      </c>
      <c r="W26" s="6" t="n">
        <f aca="false">W20*Параметры!$D$24</f>
        <v>97572.7391679829</v>
      </c>
      <c r="X26" s="6" t="n">
        <f aca="false">X20*Параметры!$D$24</f>
        <v>105410.636820844</v>
      </c>
      <c r="Y26" s="6" t="n">
        <f aca="false">Y20*Параметры!$D$24</f>
        <v>113875.847726909</v>
      </c>
    </row>
    <row r="27" customFormat="false" ht="15" hidden="false" customHeight="false" outlineLevel="0" collapsed="false">
      <c r="A27" s="9" t="s">
        <v>135</v>
      </c>
    </row>
    <row r="28" customFormat="false" ht="15" hidden="false" customHeight="false" outlineLevel="0" collapsed="false">
      <c r="A28" s="4" t="s">
        <v>136</v>
      </c>
      <c r="B28" s="8" t="n">
        <f aca="false">SUM(B20)</f>
        <v>111938.32</v>
      </c>
      <c r="C28" s="8" t="n">
        <f aca="false">SUM(B20:C20)</f>
        <v>307518.8024</v>
      </c>
      <c r="D28" s="8" t="n">
        <f aca="false">SUM(B20:D20)</f>
        <v>587299.113528</v>
      </c>
      <c r="E28" s="8" t="n">
        <f aca="false">SUM(B20:E20)</f>
        <v>952126.88284216</v>
      </c>
      <c r="F28" s="8" t="n">
        <f aca="false">SUM(B20:F20)</f>
        <v>1403161.6733489</v>
      </c>
      <c r="G28" s="8" t="n">
        <f aca="false">SUM(B20:G20)</f>
        <v>1941899.35983963</v>
      </c>
      <c r="H28" s="8" t="n">
        <f aca="false">SUM(B20:H20)</f>
        <v>2570199.14940476</v>
      </c>
      <c r="I28" s="8" t="n">
        <f aca="false">SUM(B20:I20)</f>
        <v>3290313.50231897</v>
      </c>
      <c r="J28" s="8" t="n">
        <f aca="false">SUM(B20:J20)</f>
        <v>4104921.23738539</v>
      </c>
      <c r="K28" s="8" t="n">
        <f aca="false">SUM(B20:K20)</f>
        <v>5017164.13441341</v>
      </c>
      <c r="L28" s="8" t="n">
        <f aca="false">SUM(B20:L20)</f>
        <v>6030687.37794556</v>
      </c>
      <c r="M28" s="8" t="n">
        <f aca="false">SUM(B20:M20)</f>
        <v>7149684.22092819</v>
      </c>
      <c r="N28" s="8" t="n">
        <f aca="false">SUM(C20:N20)</f>
        <v>8267006.96505344</v>
      </c>
      <c r="O28" s="8" t="n">
        <f aca="false">SUM(D20:O20)</f>
        <v>9416394.15393025</v>
      </c>
      <c r="P28" s="8" t="n">
        <f aca="false">SUM(E20:P20)</f>
        <v>10603442.2669236</v>
      </c>
      <c r="Q28" s="8" t="n">
        <f aca="false">SUM(F20:Q20)</f>
        <v>11834235.7302883</v>
      </c>
      <c r="R28" s="8" t="n">
        <f aca="false">SUM(G20:R20)</f>
        <v>13115397.8628892</v>
      </c>
      <c r="S28" s="8" t="n">
        <f aca="false">SUM(H20:S20)</f>
        <v>14454146.8519631</v>
      </c>
      <c r="T28" s="8" t="n">
        <f aca="false">SUM(I20:T20)</f>
        <v>15858357.2638609</v>
      </c>
      <c r="U28" s="8" t="n">
        <f aca="false">SUM(J20:U20)</f>
        <v>17336627.6451473</v>
      </c>
      <c r="V28" s="8" t="n">
        <f aca="false">SUM(K20:V20)</f>
        <v>18898354.8249154</v>
      </c>
      <c r="W28" s="8" t="n">
        <f aca="false">SUM(L20:W20)</f>
        <v>20553815.5902028</v>
      </c>
      <c r="X28" s="8" t="n">
        <f aca="false">SUM(M20:X20)</f>
        <v>22314256.4735349</v>
      </c>
      <c r="Y28" s="8" t="n">
        <f aca="false">SUM(N20:Y20)</f>
        <v>24191992.465471</v>
      </c>
    </row>
    <row r="29" customFormat="false" ht="15" hidden="false" customHeight="false" outlineLevel="0" collapsed="false">
      <c r="A29" s="4" t="s">
        <v>137</v>
      </c>
      <c r="B29" s="6" t="n">
        <f aca="false">B20*Параметры!$D$25</f>
        <v>6716.2992</v>
      </c>
      <c r="C29" s="6" t="n">
        <f aca="false">C20*Параметры!$D$25</f>
        <v>11734.828944</v>
      </c>
      <c r="D29" s="6" t="n">
        <f aca="false">D20*Параметры!$D$25</f>
        <v>16786.81866768</v>
      </c>
      <c r="E29" s="6" t="n">
        <f aca="false">E20*Параметры!$D$25</f>
        <v>21889.6661588496</v>
      </c>
      <c r="F29" s="6" t="n">
        <f aca="false">F20*Параметры!$D$25</f>
        <v>27062.0874304041</v>
      </c>
      <c r="G29" s="6" t="n">
        <f aca="false">G20*Параметры!$D$25</f>
        <v>32324.261189444</v>
      </c>
      <c r="H29" s="6" t="n">
        <f aca="false">H20*Параметры!$D$25</f>
        <v>37697.9873739079</v>
      </c>
      <c r="I29" s="6" t="n">
        <f aca="false">I20*Параметры!$D$25</f>
        <v>43206.8611748526</v>
      </c>
      <c r="J29" s="6" t="n">
        <f aca="false">J20*Параметры!$D$25</f>
        <v>48876.4641039851</v>
      </c>
      <c r="K29" s="6" t="n">
        <f aca="false">K20*Параметры!$D$25</f>
        <v>54734.5738216815</v>
      </c>
      <c r="L29" s="6" t="n">
        <f aca="false">L20*Параметры!$D$25</f>
        <v>60811.3946119286</v>
      </c>
      <c r="M29" s="6" t="n">
        <f aca="false">M20*Параметры!$D$25</f>
        <v>67139.810578958</v>
      </c>
      <c r="N29" s="6" t="n">
        <f aca="false">N20*Параметры!$D$25</f>
        <v>73755.6638475152</v>
      </c>
      <c r="O29" s="6" t="n">
        <f aca="false">O20*Параметры!$D$25</f>
        <v>80698.0602766084</v>
      </c>
      <c r="P29" s="6" t="n">
        <f aca="false">P20*Параметры!$D$25</f>
        <v>88009.7054472806</v>
      </c>
      <c r="Q29" s="6" t="n">
        <f aca="false">Q20*Параметры!$D$25</f>
        <v>95737.2739607297</v>
      </c>
      <c r="R29" s="6" t="n">
        <f aca="false">R20*Параметры!$D$25</f>
        <v>103931.815386462</v>
      </c>
      <c r="S29" s="6" t="n">
        <f aca="false">S20*Параметры!$D$25</f>
        <v>112649.200533878</v>
      </c>
      <c r="T29" s="6" t="n">
        <f aca="false">T20*Параметры!$D$25</f>
        <v>121950.612087772</v>
      </c>
      <c r="U29" s="6" t="n">
        <f aca="false">U20*Параметры!$D$25</f>
        <v>131903.084052041</v>
      </c>
      <c r="V29" s="6" t="n">
        <f aca="false">V20*Параметры!$D$25</f>
        <v>142580.094890071</v>
      </c>
      <c r="W29" s="6" t="n">
        <f aca="false">W20*Параметры!$D$25</f>
        <v>154062.21973892</v>
      </c>
      <c r="X29" s="6" t="n">
        <f aca="false">X20*Параметры!$D$25</f>
        <v>166437.847611859</v>
      </c>
      <c r="Y29" s="6" t="n">
        <f aca="false">Y20*Параметры!$D$25</f>
        <v>179803.97009512</v>
      </c>
    </row>
    <row r="30" customFormat="false" ht="15" hidden="false" customHeight="false" outlineLevel="0" collapsed="false">
      <c r="A30" s="4" t="s">
        <v>138</v>
      </c>
      <c r="B30" s="6" t="n">
        <f aca="false">IF(B28&gt;Параметры!$D$26,B20*Параметры!$D$27,0)</f>
        <v>0</v>
      </c>
      <c r="C30" s="6" t="n">
        <f aca="false">IF(C28&gt;Параметры!$D$26,C20*Параметры!$D$27,0)</f>
        <v>0</v>
      </c>
      <c r="D30" s="6" t="n">
        <f aca="false">IF(D28&gt;Параметры!$D$26,D20*Параметры!$D$27,0)</f>
        <v>0</v>
      </c>
      <c r="E30" s="6" t="n">
        <f aca="false">IF(E28&gt;Параметры!$D$26,E20*Параметры!$D$27,0)</f>
        <v>0</v>
      </c>
      <c r="F30" s="6" t="n">
        <f aca="false">IF(F28&gt;Параметры!$D$26,F20*Параметры!$D$27,0)</f>
        <v>0</v>
      </c>
      <c r="G30" s="6" t="n">
        <f aca="false">IF(G28&gt;Параметры!$D$26,G20*Параметры!$D$27,0)</f>
        <v>0</v>
      </c>
      <c r="H30" s="6" t="n">
        <f aca="false">IF(H28&gt;Параметры!$D$26,H20*Параметры!$D$27,0)</f>
        <v>0</v>
      </c>
      <c r="I30" s="6" t="n">
        <f aca="false">IF(I28&gt;Параметры!$D$26,I20*Параметры!$D$27,0)</f>
        <v>0</v>
      </c>
      <c r="J30" s="6" t="n">
        <f aca="false">IF(J28&gt;Параметры!$D$26,J20*Параметры!$D$27,0)</f>
        <v>0</v>
      </c>
      <c r="K30" s="6" t="n">
        <f aca="false">IF(K28&gt;Параметры!$D$26,K20*Параметры!$D$27,0)</f>
        <v>0</v>
      </c>
      <c r="L30" s="6" t="n">
        <f aca="false">IF(L28&gt;Параметры!$D$26,L20*Параметры!$D$27,0)</f>
        <v>0</v>
      </c>
      <c r="M30" s="6" t="n">
        <f aca="false">IF(M28&gt;Параметры!$D$26,M20*Параметры!$D$27,0)</f>
        <v>0</v>
      </c>
      <c r="N30" s="6" t="n">
        <f aca="false">IF(N28&gt;Параметры!$D$26,N20*Параметры!$D$27,0)</f>
        <v>0</v>
      </c>
      <c r="O30" s="6" t="n">
        <f aca="false">IF(O28&gt;Параметры!$D$26,O20*Параметры!$D$27,0)</f>
        <v>0</v>
      </c>
      <c r="P30" s="6" t="n">
        <f aca="false">IF(P28&gt;Параметры!$D$26,P20*Параметры!$D$27,0)</f>
        <v>0</v>
      </c>
      <c r="Q30" s="6" t="n">
        <f aca="false">IF(Q28&gt;Параметры!$D$26,Q20*Параметры!$D$27,0)</f>
        <v>0</v>
      </c>
      <c r="R30" s="6" t="n">
        <f aca="false">IF(R28&gt;Параметры!$D$26,R20*Параметры!$D$27,0)</f>
        <v>0</v>
      </c>
      <c r="S30" s="6" t="n">
        <f aca="false">IF(S28&gt;Параметры!$D$26,S20*Параметры!$D$27,0)</f>
        <v>0</v>
      </c>
      <c r="T30" s="6" t="n">
        <f aca="false">IF(T28&gt;Параметры!$D$26,T20*Параметры!$D$27,0)</f>
        <v>0</v>
      </c>
      <c r="U30" s="6" t="n">
        <f aca="false">IF(U28&gt;Параметры!$D$26,U20*Параметры!$D$27,0)</f>
        <v>0</v>
      </c>
      <c r="V30" s="6" t="n">
        <f aca="false">IF(V28&gt;Параметры!$D$26,V20*Параметры!$D$27,0)</f>
        <v>0</v>
      </c>
      <c r="W30" s="6" t="n">
        <f aca="false">IF(W28&gt;Параметры!$D$26,W20*Параметры!$D$27,0)</f>
        <v>128385.183115767</v>
      </c>
      <c r="X30" s="6" t="n">
        <f aca="false">IF(X28&gt;Параметры!$D$26,X20*Параметры!$D$27,0)</f>
        <v>138698.206343216</v>
      </c>
      <c r="Y30" s="6" t="n">
        <f aca="false">IF(Y28&gt;Параметры!$D$26,Y20*Параметры!$D$27,0)</f>
        <v>149836.641745933</v>
      </c>
    </row>
    <row r="31" customFormat="false" ht="15" hidden="false" customHeight="false" outlineLevel="0" collapsed="false">
      <c r="A31" s="4" t="s">
        <v>139</v>
      </c>
      <c r="B31" s="6" t="n">
        <f aca="false">Параметры!$D$28/12+MAX(0,B20-Параметры!$D$29/12)*Параметры!$D$30</f>
        <v>5651.8832</v>
      </c>
      <c r="C31" s="6" t="n">
        <f aca="false">Параметры!$D$28/12+MAX(0,C20-Параметры!$D$29/12)*Параметры!$D$30</f>
        <v>6488.304824</v>
      </c>
      <c r="D31" s="6" t="n">
        <f aca="false">Параметры!$D$28/12+MAX(0,D20-Параметры!$D$29/12)*Параметры!$D$30</f>
        <v>7330.30311128</v>
      </c>
      <c r="E31" s="6" t="n">
        <f aca="false">Параметры!$D$28/12+MAX(0,E20-Параметры!$D$29/12)*Параметры!$D$30</f>
        <v>8180.7776931416</v>
      </c>
      <c r="F31" s="6" t="n">
        <f aca="false">Параметры!$D$28/12+MAX(0,F20-Параметры!$D$29/12)*Параметры!$D$30</f>
        <v>9042.84790506735</v>
      </c>
      <c r="G31" s="6" t="n">
        <f aca="false">Параметры!$D$28/12+MAX(0,G20-Параметры!$D$29/12)*Параметры!$D$30</f>
        <v>9919.87686490733</v>
      </c>
      <c r="H31" s="6" t="n">
        <f aca="false">Параметры!$D$28/12+MAX(0,H20-Параметры!$D$29/12)*Параметры!$D$30</f>
        <v>10815.4978956513</v>
      </c>
      <c r="I31" s="6" t="n">
        <f aca="false">Параметры!$D$28/12+MAX(0,I20-Параметры!$D$29/12)*Параметры!$D$30</f>
        <v>11733.6435291421</v>
      </c>
      <c r="J31" s="6" t="n">
        <f aca="false">Параметры!$D$28/12+MAX(0,J20-Параметры!$D$29/12)*Параметры!$D$30</f>
        <v>12678.5773506642</v>
      </c>
      <c r="K31" s="6" t="n">
        <f aca="false">Параметры!$D$28/12+MAX(0,K20-Параметры!$D$29/12)*Параметры!$D$30</f>
        <v>13654.9289702802</v>
      </c>
      <c r="L31" s="6" t="n">
        <f aca="false">Параметры!$D$28/12+MAX(0,L20-Параметры!$D$29/12)*Параметры!$D$30</f>
        <v>14667.7324353214</v>
      </c>
      <c r="M31" s="6" t="n">
        <f aca="false">Параметры!$D$28/12+MAX(0,M20-Параметры!$D$29/12)*Параметры!$D$30</f>
        <v>15722.4684298263</v>
      </c>
      <c r="N31" s="6" t="n">
        <f aca="false">Параметры!$D$28/12+MAX(0,N20-Параметры!$D$29/12)*Параметры!$D$30</f>
        <v>16825.1106412525</v>
      </c>
      <c r="O31" s="6" t="n">
        <f aca="false">Параметры!$D$28/12+MAX(0,O20-Параметры!$D$29/12)*Параметры!$D$30</f>
        <v>17982.1767127681</v>
      </c>
      <c r="P31" s="6" t="n">
        <f aca="false">Параметры!$D$28/12+MAX(0,P20-Параметры!$D$29/12)*Параметры!$D$30</f>
        <v>19200.7842412134</v>
      </c>
      <c r="Q31" s="6" t="n">
        <f aca="false">Параметры!$D$28/12+MAX(0,Q20-Параметры!$D$29/12)*Параметры!$D$30</f>
        <v>20488.7123267883</v>
      </c>
      <c r="R31" s="6" t="n">
        <f aca="false">Параметры!$D$28/12+MAX(0,R20-Параметры!$D$29/12)*Параметры!$D$30</f>
        <v>21854.469231077</v>
      </c>
      <c r="S31" s="6" t="n">
        <f aca="false">Параметры!$D$28/12+MAX(0,S20-Параметры!$D$29/12)*Параметры!$D$30</f>
        <v>23307.3667556463</v>
      </c>
      <c r="T31" s="6" t="n">
        <f aca="false">Параметры!$D$28/12+MAX(0,T20-Параметры!$D$29/12)*Параметры!$D$30</f>
        <v>24857.6020146287</v>
      </c>
      <c r="U31" s="6" t="n">
        <f aca="false">Параметры!$D$28/12+MAX(0,U20-Параметры!$D$29/12)*Параметры!$D$30</f>
        <v>26516.3473420068</v>
      </c>
      <c r="V31" s="6" t="n">
        <f aca="false">Параметры!$D$28/12+MAX(0,V20-Параметры!$D$29/12)*Параметры!$D$30</f>
        <v>28295.8491483452</v>
      </c>
      <c r="W31" s="6" t="n">
        <f aca="false">Параметры!$D$28/12+MAX(0,W20-Параметры!$D$29/12)*Параметры!$D$30</f>
        <v>30209.5366231534</v>
      </c>
      <c r="X31" s="6" t="n">
        <f aca="false">Параметры!$D$28/12+MAX(0,X20-Параметры!$D$29/12)*Параметры!$D$30</f>
        <v>32272.1412686432</v>
      </c>
      <c r="Y31" s="6" t="n">
        <f aca="false">Параметры!$D$28/12+MAX(0,Y20-Параметры!$D$29/12)*Параметры!$D$30</f>
        <v>34499.8283491867</v>
      </c>
    </row>
    <row r="32" customFormat="false" ht="15" hidden="false" customHeight="false" outlineLevel="0" collapsed="false">
      <c r="A32" s="9" t="s">
        <v>140</v>
      </c>
    </row>
    <row r="33" customFormat="false" ht="15" hidden="false" customHeight="false" outlineLevel="0" collapsed="false">
      <c r="A33" s="4" t="s">
        <v>141</v>
      </c>
      <c r="B33" s="6" t="n">
        <f aca="false">Параметры!$D$32+Параметры!$D$33+Параметры!$D$34+Параметры!$D$35+Параметры!$D$36</f>
        <v>6799</v>
      </c>
      <c r="C33" s="6" t="n">
        <f aca="false">Параметры!$D$32+Параметры!$D$33+Параметры!$D$34+Параметры!$D$35+Параметры!$D$36</f>
        <v>6799</v>
      </c>
      <c r="D33" s="6" t="n">
        <f aca="false">Параметры!$D$32+Параметры!$D$33+Параметры!$D$34+Параметры!$D$35+Параметры!$D$36</f>
        <v>6799</v>
      </c>
      <c r="E33" s="6" t="n">
        <f aca="false">Параметры!$D$32+Параметры!$D$33+Параметры!$D$34+Параметры!$D$35+Параметры!$D$36</f>
        <v>6799</v>
      </c>
      <c r="F33" s="6" t="n">
        <f aca="false">Параметры!$D$32+Параметры!$D$33+Параметры!$D$34+Параметры!$D$35+Параметры!$D$36</f>
        <v>6799</v>
      </c>
      <c r="G33" s="6" t="n">
        <f aca="false">Параметры!$D$32+Параметры!$D$33+Параметры!$D$34+Параметры!$D$35+Параметры!$D$36</f>
        <v>6799</v>
      </c>
      <c r="H33" s="6" t="n">
        <f aca="false">Параметры!$D$32+Параметры!$D$33+Параметры!$D$34+Параметры!$D$35+Параметры!$D$36</f>
        <v>6799</v>
      </c>
      <c r="I33" s="6" t="n">
        <f aca="false">Параметры!$D$32+Параметры!$D$33+Параметры!$D$34+Параметры!$D$35+Параметры!$D$36</f>
        <v>6799</v>
      </c>
      <c r="J33" s="6" t="n">
        <f aca="false">Параметры!$D$32+Параметры!$D$33+Параметры!$D$34+Параметры!$D$35+Параметры!$D$36</f>
        <v>6799</v>
      </c>
      <c r="K33" s="6" t="n">
        <f aca="false">Параметры!$D$32+Параметры!$D$33+Параметры!$D$34+Параметры!$D$35+Параметры!$D$36</f>
        <v>6799</v>
      </c>
      <c r="L33" s="6" t="n">
        <f aca="false">Параметры!$D$32+Параметры!$D$33+Параметры!$D$34+Параметры!$D$35+Параметры!$D$36</f>
        <v>6799</v>
      </c>
      <c r="M33" s="6" t="n">
        <f aca="false">Параметры!$D$32+Параметры!$D$33+Параметры!$D$34+Параметры!$D$35+Параметры!$D$36</f>
        <v>6799</v>
      </c>
      <c r="N33" s="6" t="n">
        <f aca="false">Параметры!$D$32+Параметры!$D$33+Параметры!$D$34+Параметры!$D$35+Параметры!$D$36</f>
        <v>6799</v>
      </c>
      <c r="O33" s="6" t="n">
        <f aca="false">Параметры!$D$32+Параметры!$D$33+Параметры!$D$34+Параметры!$D$35+Параметры!$D$36</f>
        <v>6799</v>
      </c>
      <c r="P33" s="6" t="n">
        <f aca="false">Параметры!$D$32+Параметры!$D$33+Параметры!$D$34+Параметры!$D$35+Параметры!$D$36</f>
        <v>6799</v>
      </c>
      <c r="Q33" s="6" t="n">
        <f aca="false">Параметры!$D$32+Параметры!$D$33+Параметры!$D$34+Параметры!$D$35+Параметры!$D$36</f>
        <v>6799</v>
      </c>
      <c r="R33" s="6" t="n">
        <f aca="false">Параметры!$D$32+Параметры!$D$33+Параметры!$D$34+Параметры!$D$35+Параметры!$D$36</f>
        <v>6799</v>
      </c>
      <c r="S33" s="6" t="n">
        <f aca="false">Параметры!$D$32+Параметры!$D$33+Параметры!$D$34+Параметры!$D$35+Параметры!$D$36</f>
        <v>6799</v>
      </c>
      <c r="T33" s="6" t="n">
        <f aca="false">Параметры!$D$32+Параметры!$D$33+Параметры!$D$34+Параметры!$D$35+Параметры!$D$36</f>
        <v>6799</v>
      </c>
      <c r="U33" s="6" t="n">
        <f aca="false">Параметры!$D$32+Параметры!$D$33+Параметры!$D$34+Параметры!$D$35+Параметры!$D$36</f>
        <v>6799</v>
      </c>
      <c r="V33" s="6" t="n">
        <f aca="false">Параметры!$D$32+Параметры!$D$33+Параметры!$D$34+Параметры!$D$35+Параметры!$D$36</f>
        <v>6799</v>
      </c>
      <c r="W33" s="6" t="n">
        <f aca="false">Параметры!$D$32+Параметры!$D$33+Параметры!$D$34+Параметры!$D$35+Параметры!$D$36</f>
        <v>6799</v>
      </c>
      <c r="X33" s="6" t="n">
        <f aca="false">Параметры!$D$32+Параметры!$D$33+Параметры!$D$34+Параметры!$D$35+Параметры!$D$36</f>
        <v>6799</v>
      </c>
      <c r="Y33" s="6" t="n">
        <f aca="false">Параметры!$D$32+Параметры!$D$33+Параметры!$D$34+Параметры!$D$35+Параметры!$D$36</f>
        <v>6799</v>
      </c>
    </row>
    <row r="34" customFormat="false" ht="15" hidden="false" customHeight="false" outlineLevel="0" collapsed="false">
      <c r="A34" s="4" t="s">
        <v>142</v>
      </c>
      <c r="B34" s="6" t="n">
        <f aca="false">Параметры!$D$41</f>
        <v>100000</v>
      </c>
      <c r="C34" s="6" t="n">
        <f aca="false">Параметры!$D$41</f>
        <v>100000</v>
      </c>
      <c r="D34" s="6" t="n">
        <f aca="false">Параметры!$D$41</f>
        <v>100000</v>
      </c>
      <c r="E34" s="6" t="n">
        <f aca="false">Параметры!$D$41</f>
        <v>100000</v>
      </c>
      <c r="F34" s="6" t="n">
        <f aca="false">Параметры!$D$41</f>
        <v>100000</v>
      </c>
      <c r="G34" s="6" t="n">
        <f aca="false">Параметры!$D$41</f>
        <v>100000</v>
      </c>
      <c r="H34" s="6" t="n">
        <f aca="false">Параметры!$D$41</f>
        <v>100000</v>
      </c>
      <c r="I34" s="6" t="n">
        <f aca="false">Параметры!$D$41</f>
        <v>100000</v>
      </c>
      <c r="J34" s="6" t="n">
        <f aca="false">Параметры!$D$41</f>
        <v>100000</v>
      </c>
      <c r="K34" s="6" t="n">
        <f aca="false">Параметры!$D$41</f>
        <v>100000</v>
      </c>
      <c r="L34" s="6" t="n">
        <f aca="false">Параметры!$D$41</f>
        <v>100000</v>
      </c>
      <c r="M34" s="6" t="n">
        <f aca="false">Параметры!$D$41</f>
        <v>100000</v>
      </c>
      <c r="N34" s="6" t="n">
        <f aca="false">Параметры!$D$41</f>
        <v>100000</v>
      </c>
      <c r="O34" s="6" t="n">
        <f aca="false">Параметры!$D$41</f>
        <v>100000</v>
      </c>
      <c r="P34" s="6" t="n">
        <f aca="false">Параметры!$D$41</f>
        <v>100000</v>
      </c>
      <c r="Q34" s="6" t="n">
        <f aca="false">Параметры!$D$41</f>
        <v>100000</v>
      </c>
      <c r="R34" s="6" t="n">
        <f aca="false">Параметры!$D$41</f>
        <v>100000</v>
      </c>
      <c r="S34" s="6" t="n">
        <f aca="false">Параметры!$D$41</f>
        <v>100000</v>
      </c>
      <c r="T34" s="6" t="n">
        <f aca="false">Параметры!$D$41</f>
        <v>100000</v>
      </c>
      <c r="U34" s="6" t="n">
        <f aca="false">Параметры!$D$41</f>
        <v>100000</v>
      </c>
      <c r="V34" s="6" t="n">
        <f aca="false">Параметры!$D$41</f>
        <v>100000</v>
      </c>
      <c r="W34" s="6" t="n">
        <f aca="false">Параметры!$D$41</f>
        <v>100000</v>
      </c>
      <c r="X34" s="6" t="n">
        <f aca="false">Параметры!$D$41</f>
        <v>100000</v>
      </c>
      <c r="Y34" s="6" t="n">
        <f aca="false">Параметры!$D$41</f>
        <v>100000</v>
      </c>
    </row>
    <row r="35" customFormat="false" ht="15" hidden="false" customHeight="false" outlineLevel="0" collapsed="false">
      <c r="A35" s="4" t="s">
        <v>88</v>
      </c>
      <c r="B35" s="6" t="n">
        <f aca="false">Параметры!$D$37</f>
        <v>0</v>
      </c>
      <c r="C35" s="6" t="n">
        <f aca="false">Параметры!$D$37</f>
        <v>0</v>
      </c>
      <c r="D35" s="6" t="n">
        <f aca="false">Параметры!$D$37</f>
        <v>0</v>
      </c>
      <c r="E35" s="6" t="n">
        <f aca="false">Параметры!$D$37</f>
        <v>0</v>
      </c>
      <c r="F35" s="6" t="n">
        <f aca="false">Параметры!$D$37</f>
        <v>0</v>
      </c>
      <c r="G35" s="6" t="n">
        <f aca="false">Параметры!$D$37</f>
        <v>0</v>
      </c>
      <c r="H35" s="6" t="n">
        <f aca="false">Параметры!$D$37</f>
        <v>0</v>
      </c>
      <c r="I35" s="6" t="n">
        <f aca="false">Параметры!$D$37</f>
        <v>0</v>
      </c>
      <c r="J35" s="6" t="n">
        <f aca="false">Параметры!$D$37</f>
        <v>0</v>
      </c>
      <c r="K35" s="6" t="n">
        <f aca="false">Параметры!$D$37</f>
        <v>0</v>
      </c>
      <c r="L35" s="6" t="n">
        <f aca="false">Параметры!$D$37</f>
        <v>0</v>
      </c>
      <c r="M35" s="6" t="n">
        <f aca="false">Параметры!$D$37</f>
        <v>0</v>
      </c>
      <c r="N35" s="6" t="n">
        <f aca="false">Параметры!$D$37</f>
        <v>0</v>
      </c>
      <c r="O35" s="6" t="n">
        <f aca="false">Параметры!$D$37</f>
        <v>0</v>
      </c>
      <c r="P35" s="6" t="n">
        <f aca="false">Параметры!$D$37</f>
        <v>0</v>
      </c>
      <c r="Q35" s="6" t="n">
        <f aca="false">Параметры!$D$37</f>
        <v>0</v>
      </c>
      <c r="R35" s="6" t="n">
        <f aca="false">Параметры!$D$37</f>
        <v>0</v>
      </c>
      <c r="S35" s="6" t="n">
        <f aca="false">Параметры!$D$37</f>
        <v>0</v>
      </c>
      <c r="T35" s="6" t="n">
        <f aca="false">Параметры!$D$37</f>
        <v>0</v>
      </c>
      <c r="U35" s="6" t="n">
        <f aca="false">Параметры!$D$37</f>
        <v>0</v>
      </c>
      <c r="V35" s="6" t="n">
        <f aca="false">Параметры!$D$37</f>
        <v>0</v>
      </c>
      <c r="W35" s="6" t="n">
        <f aca="false">Параметры!$D$37</f>
        <v>0</v>
      </c>
      <c r="X35" s="6" t="n">
        <f aca="false">Параметры!$D$37</f>
        <v>0</v>
      </c>
      <c r="Y35" s="6" t="n">
        <f aca="false">Параметры!$D$37</f>
        <v>0</v>
      </c>
    </row>
    <row r="36" customFormat="false" ht="15" hidden="false" customHeight="false" outlineLevel="0" collapsed="false">
      <c r="A36" s="9" t="s">
        <v>143</v>
      </c>
    </row>
    <row r="37" customFormat="false" ht="15" hidden="false" customHeight="false" outlineLevel="0" collapsed="false">
      <c r="A37" s="9" t="s">
        <v>144</v>
      </c>
      <c r="B37" s="8" t="n">
        <f aca="false">B22+B23+B24+B25+B26+B29+B30+B31+B33+B34+B35</f>
        <v>136259.06896</v>
      </c>
      <c r="C37" s="8" t="n">
        <f aca="false">C22+C23+C24+C25+C26+C29+C30+C31+C33+C34+C35</f>
        <v>155994.5557072</v>
      </c>
      <c r="D37" s="8" t="n">
        <f aca="false">D22+D23+D24+D25+D26+D29+D30+D31+D33+D34+D35</f>
        <v>175856.927333584</v>
      </c>
      <c r="E37" s="8" t="n">
        <f aca="false">E22+E23+E24+E25+E26+E29+E30+E31+E33+E34+E35</f>
        <v>195914.272240937</v>
      </c>
      <c r="F37" s="8" t="n">
        <f aca="false">F22+F23+F24+F25+F26+F29+F30+F31+F33+F34+F35</f>
        <v>216239.825673804</v>
      </c>
      <c r="G37" s="8" t="n">
        <f aca="false">G22+G23+G24+G25+G26+G29+G30+G31+G33+G34+G35</f>
        <v>236912.534263696</v>
      </c>
      <c r="H37" s="8" t="n">
        <f aca="false">H22+H23+H24+H25+H26+H29+H30+H31+H33+H34+H35</f>
        <v>258017.675531901</v>
      </c>
      <c r="I37" s="8" t="n">
        <f aca="false">I22+I23+I24+I25+I26+I29+I30+I31+I33+I34+I35</f>
        <v>279647.537891672</v>
      </c>
      <c r="J37" s="8" t="n">
        <f aca="false">J22+J23+J24+J25+J26+J29+J30+J31+J33+J34+J35</f>
        <v>301902.167243222</v>
      </c>
      <c r="K37" s="8" t="n">
        <f aca="false">K22+K23+K24+K25+K26+K29+K30+K31+K33+K34+K35</f>
        <v>324890.186863056</v>
      </c>
      <c r="L37" s="8" t="n">
        <f aca="false">L22+L23+L24+L25+L26+L29+L30+L31+L33+L34+L35</f>
        <v>348729.697958008</v>
      </c>
      <c r="M37" s="8" t="n">
        <f aca="false">M22+M23+M24+M25+M26+M29+M30+M31+M33+M34+M35</f>
        <v>373549.268990196</v>
      </c>
      <c r="N37" s="8" t="n">
        <f aca="false">N22+N23+N24+N25+N26+N29+N30+N31+N33+N34+N35</f>
        <v>399489.022688511</v>
      </c>
      <c r="O37" s="8" t="n">
        <f aca="false">O22+O23+O24+O25+O26+O29+O30+O31+O33+O34+O35</f>
        <v>426701.830552679</v>
      </c>
      <c r="P37" s="8" t="n">
        <f aca="false">P22+P23+P24+P25+P26+P29+P30+P31+P33+P34+P35</f>
        <v>455354.625635404</v>
      </c>
      <c r="Q37" s="8" t="n">
        <f aca="false">Q22+Q23+Q24+Q25+Q26+Q29+Q30+Q31+Q33+Q34+Q35</f>
        <v>485629.845465577</v>
      </c>
      <c r="R37" s="8" t="n">
        <f aca="false">R22+R23+R24+R25+R26+R29+R30+R31+R33+R34+R35</f>
        <v>517727.018160769</v>
      </c>
      <c r="S37" s="8" t="n">
        <f aca="false">S22+S23+S24+S25+S26+S29+S30+S31+S33+S34+S35</f>
        <v>551864.506081022</v>
      </c>
      <c r="T37" s="8" t="n">
        <f aca="false">T22+T23+T24+T25+T26+T29+T30+T31+T33+T34+T35</f>
        <v>588281.422810174</v>
      </c>
      <c r="U37" s="8" t="n">
        <f aca="false">U22+U23+U24+U25+U26+U29+U30+U31+U33+U34+U35</f>
        <v>627239.74082861</v>
      </c>
      <c r="V37" s="8" t="n">
        <f aca="false">V22+V23+V24+V25+V26+V29+V30+V31+V33+V34+V35</f>
        <v>669026.608976767</v>
      </c>
      <c r="W37" s="8" t="n">
        <f aca="false">W22+W23+W24+W25+W26+W29+W30+W31+W33+W34+W35</f>
        <v>842342.083833547</v>
      </c>
      <c r="X37" s="8" t="n">
        <f aca="false">X22+X23+X24+X25+X26+X29+X30+X31+X33+X34+X35</f>
        <v>901074.222650811</v>
      </c>
      <c r="Y37" s="8" t="n">
        <f aca="false">Y22+Y23+Y24+Y25+Y26+Y29+Y30+Y31+Y33+Y34+Y35</f>
        <v>964499.606036784</v>
      </c>
    </row>
    <row r="38" customFormat="false" ht="15" hidden="false" customHeight="false" outlineLevel="0" collapsed="false">
      <c r="A38" s="9" t="s">
        <v>145</v>
      </c>
      <c r="B38" s="8" t="n">
        <f aca="false">B20-B37</f>
        <v>-24320.74896</v>
      </c>
      <c r="C38" s="8" t="n">
        <f aca="false">C20-C37</f>
        <v>39585.9266928</v>
      </c>
      <c r="D38" s="8" t="n">
        <f aca="false">D20-D37</f>
        <v>103923.383794416</v>
      </c>
      <c r="E38" s="8" t="n">
        <f aca="false">E20-E37</f>
        <v>168913.497073224</v>
      </c>
      <c r="F38" s="8" t="n">
        <f aca="false">F20-F37</f>
        <v>234794.964832931</v>
      </c>
      <c r="G38" s="8" t="n">
        <f aca="false">G20-G37</f>
        <v>301825.152227037</v>
      </c>
      <c r="H38" s="8" t="n">
        <f aca="false">H20-H37</f>
        <v>370282.11403323</v>
      </c>
      <c r="I38" s="8" t="n">
        <f aca="false">I20-I37</f>
        <v>440466.815022538</v>
      </c>
      <c r="J38" s="8" t="n">
        <f aca="false">J20-J37</f>
        <v>512705.567823196</v>
      </c>
      <c r="K38" s="8" t="n">
        <f aca="false">K20-K37</f>
        <v>587352.710164968</v>
      </c>
      <c r="L38" s="8" t="n">
        <f aca="false">L20-L37</f>
        <v>664793.545574134</v>
      </c>
      <c r="M38" s="8" t="n">
        <f aca="false">M20-M37</f>
        <v>745447.573992437</v>
      </c>
      <c r="N38" s="8" t="n">
        <f aca="false">N20-N37</f>
        <v>829772.041436743</v>
      </c>
      <c r="O38" s="8" t="n">
        <f aca="false">O20-O37</f>
        <v>918265.840724128</v>
      </c>
      <c r="P38" s="8" t="n">
        <f aca="false">P20-P37</f>
        <v>1011473.79848594</v>
      </c>
      <c r="Q38" s="8" t="n">
        <f aca="false">Q20-Q37</f>
        <v>1109991.38721325</v>
      </c>
      <c r="R38" s="8" t="n">
        <f aca="false">R20-R37</f>
        <v>1214469.90494693</v>
      </c>
      <c r="S38" s="8" t="n">
        <f aca="false">S20-S37</f>
        <v>1325622.16948361</v>
      </c>
      <c r="T38" s="8" t="n">
        <f aca="false">T20-T37</f>
        <v>1444228.7786527</v>
      </c>
      <c r="U38" s="8" t="n">
        <f aca="false">U20-U37</f>
        <v>1571144.99337207</v>
      </c>
      <c r="V38" s="8" t="n">
        <f aca="false">V20-V37</f>
        <v>1707308.30585776</v>
      </c>
      <c r="W38" s="8" t="n">
        <f aca="false">W20-W37</f>
        <v>1725361.57848179</v>
      </c>
      <c r="X38" s="8" t="n">
        <f aca="false">X20-X37</f>
        <v>1872889.9042135</v>
      </c>
      <c r="Y38" s="8" t="n">
        <f aca="false">Y20-Y37</f>
        <v>2032233.22888188</v>
      </c>
    </row>
    <row r="39" customFormat="false" ht="15" hidden="false" customHeight="false" outlineLevel="0" collapsed="false">
      <c r="A39" s="9" t="s">
        <v>146</v>
      </c>
      <c r="B39" s="8" t="n">
        <f aca="false">B38</f>
        <v>-24320.74896</v>
      </c>
      <c r="C39" s="8" t="n">
        <f aca="false">B39+C38</f>
        <v>15265.1777328</v>
      </c>
      <c r="D39" s="8" t="n">
        <f aca="false">C39+D38</f>
        <v>119188.561527216</v>
      </c>
      <c r="E39" s="8" t="n">
        <f aca="false">D39+E38</f>
        <v>288102.05860044</v>
      </c>
      <c r="F39" s="8" t="n">
        <f aca="false">E39+F38</f>
        <v>522897.023433371</v>
      </c>
      <c r="G39" s="8" t="n">
        <f aca="false">F39+G38</f>
        <v>824722.175660408</v>
      </c>
      <c r="H39" s="8" t="n">
        <f aca="false">G39+H38</f>
        <v>1195004.28969364</v>
      </c>
      <c r="I39" s="8" t="n">
        <f aca="false">H39+I38</f>
        <v>1635471.10471618</v>
      </c>
      <c r="J39" s="8" t="n">
        <f aca="false">I39+J38</f>
        <v>2148176.67253937</v>
      </c>
      <c r="K39" s="8" t="n">
        <f aca="false">J39+K38</f>
        <v>2735529.38270434</v>
      </c>
      <c r="L39" s="8" t="n">
        <f aca="false">K39+L38</f>
        <v>3400322.92827847</v>
      </c>
      <c r="M39" s="8" t="n">
        <f aca="false">L39+M38</f>
        <v>4145770.50227091</v>
      </c>
      <c r="N39" s="8" t="n">
        <f aca="false">M39+N38</f>
        <v>4975542.54370765</v>
      </c>
      <c r="O39" s="8" t="n">
        <f aca="false">N39+O38</f>
        <v>5893808.38443178</v>
      </c>
      <c r="P39" s="8" t="n">
        <f aca="false">O39+P38</f>
        <v>6905282.18291772</v>
      </c>
      <c r="Q39" s="8" t="n">
        <f aca="false">P39+Q38</f>
        <v>8015273.57013097</v>
      </c>
      <c r="R39" s="8" t="n">
        <f aca="false">Q39+R38</f>
        <v>9229743.4750779</v>
      </c>
      <c r="S39" s="8" t="n">
        <f aca="false">R39+S38</f>
        <v>10555365.6445615</v>
      </c>
      <c r="T39" s="8" t="n">
        <f aca="false">S39+T38</f>
        <v>11999594.4232142</v>
      </c>
      <c r="U39" s="8" t="n">
        <f aca="false">T39+U38</f>
        <v>13570739.4165863</v>
      </c>
      <c r="V39" s="8" t="n">
        <f aca="false">U39+V38</f>
        <v>15278047.722444</v>
      </c>
      <c r="W39" s="8" t="n">
        <f aca="false">V39+W38</f>
        <v>17003409.3009258</v>
      </c>
      <c r="X39" s="8" t="n">
        <f aca="false">W39+X38</f>
        <v>18876299.2051393</v>
      </c>
      <c r="Y39" s="8" t="n">
        <f aca="false">X39+Y38</f>
        <v>20908532.4340212</v>
      </c>
    </row>
    <row r="40" customFormat="false" ht="15" hidden="false" customHeight="false" outlineLevel="0" collapsed="false">
      <c r="A40" s="4" t="s">
        <v>147</v>
      </c>
      <c r="B40" s="17" t="n">
        <f aca="false">IF(B38&gt;=0,1,0)</f>
        <v>0</v>
      </c>
      <c r="C40" s="17" t="n">
        <f aca="false">IF(C38&gt;=0,1,0)</f>
        <v>1</v>
      </c>
      <c r="D40" s="17" t="n">
        <f aca="false">IF(D38&gt;=0,1,0)</f>
        <v>1</v>
      </c>
      <c r="E40" s="17" t="n">
        <f aca="false">IF(E38&gt;=0,1,0)</f>
        <v>1</v>
      </c>
      <c r="F40" s="17" t="n">
        <f aca="false">IF(F38&gt;=0,1,0)</f>
        <v>1</v>
      </c>
      <c r="G40" s="17" t="n">
        <f aca="false">IF(G38&gt;=0,1,0)</f>
        <v>1</v>
      </c>
      <c r="H40" s="17" t="n">
        <f aca="false">IF(H38&gt;=0,1,0)</f>
        <v>1</v>
      </c>
      <c r="I40" s="17" t="n">
        <f aca="false">IF(I38&gt;=0,1,0)</f>
        <v>1</v>
      </c>
      <c r="J40" s="17" t="n">
        <f aca="false">IF(J38&gt;=0,1,0)</f>
        <v>1</v>
      </c>
      <c r="K40" s="17" t="n">
        <f aca="false">IF(K38&gt;=0,1,0)</f>
        <v>1</v>
      </c>
      <c r="L40" s="17" t="n">
        <f aca="false">IF(L38&gt;=0,1,0)</f>
        <v>1</v>
      </c>
      <c r="M40" s="17" t="n">
        <f aca="false">IF(M38&gt;=0,1,0)</f>
        <v>1</v>
      </c>
      <c r="N40" s="17" t="n">
        <f aca="false">IF(N38&gt;=0,1,0)</f>
        <v>1</v>
      </c>
      <c r="O40" s="17" t="n">
        <f aca="false">IF(O38&gt;=0,1,0)</f>
        <v>1</v>
      </c>
      <c r="P40" s="17" t="n">
        <f aca="false">IF(P38&gt;=0,1,0)</f>
        <v>1</v>
      </c>
      <c r="Q40" s="17" t="n">
        <f aca="false">IF(Q38&gt;=0,1,0)</f>
        <v>1</v>
      </c>
      <c r="R40" s="17" t="n">
        <f aca="false">IF(R38&gt;=0,1,0)</f>
        <v>1</v>
      </c>
      <c r="S40" s="17" t="n">
        <f aca="false">IF(S38&gt;=0,1,0)</f>
        <v>1</v>
      </c>
      <c r="T40" s="17" t="n">
        <f aca="false">IF(T38&gt;=0,1,0)</f>
        <v>1</v>
      </c>
      <c r="U40" s="17" t="n">
        <f aca="false">IF(U38&gt;=0,1,0)</f>
        <v>1</v>
      </c>
      <c r="V40" s="17" t="n">
        <f aca="false">IF(V38&gt;=0,1,0)</f>
        <v>1</v>
      </c>
      <c r="W40" s="17" t="n">
        <f aca="false">IF(W38&gt;=0,1,0)</f>
        <v>1</v>
      </c>
      <c r="X40" s="17" t="n">
        <f aca="false">IF(X38&gt;=0,1,0)</f>
        <v>1</v>
      </c>
      <c r="Y40" s="17" t="n">
        <f aca="false">IF(Y38&gt;=0,1,0)</f>
        <v>1</v>
      </c>
    </row>
    <row r="41" customFormat="false" ht="15" hidden="false" customHeight="false" outlineLevel="0" collapsed="false">
      <c r="A41" s="4" t="s">
        <v>148</v>
      </c>
      <c r="B41" s="17" t="n">
        <f aca="false">IF(B39&gt;=0,1,0)</f>
        <v>0</v>
      </c>
      <c r="C41" s="17" t="n">
        <f aca="false">IF(C39&gt;=0,1,0)</f>
        <v>1</v>
      </c>
      <c r="D41" s="17" t="n">
        <f aca="false">IF(D39&gt;=0,1,0)</f>
        <v>1</v>
      </c>
      <c r="E41" s="17" t="n">
        <f aca="false">IF(E39&gt;=0,1,0)</f>
        <v>1</v>
      </c>
      <c r="F41" s="17" t="n">
        <f aca="false">IF(F39&gt;=0,1,0)</f>
        <v>1</v>
      </c>
      <c r="G41" s="17" t="n">
        <f aca="false">IF(G39&gt;=0,1,0)</f>
        <v>1</v>
      </c>
      <c r="H41" s="17" t="n">
        <f aca="false">IF(H39&gt;=0,1,0)</f>
        <v>1</v>
      </c>
      <c r="I41" s="17" t="n">
        <f aca="false">IF(I39&gt;=0,1,0)</f>
        <v>1</v>
      </c>
      <c r="J41" s="17" t="n">
        <f aca="false">IF(J39&gt;=0,1,0)</f>
        <v>1</v>
      </c>
      <c r="K41" s="17" t="n">
        <f aca="false">IF(K39&gt;=0,1,0)</f>
        <v>1</v>
      </c>
      <c r="L41" s="17" t="n">
        <f aca="false">IF(L39&gt;=0,1,0)</f>
        <v>1</v>
      </c>
      <c r="M41" s="17" t="n">
        <f aca="false">IF(M39&gt;=0,1,0)</f>
        <v>1</v>
      </c>
      <c r="N41" s="17" t="n">
        <f aca="false">IF(N39&gt;=0,1,0)</f>
        <v>1</v>
      </c>
      <c r="O41" s="17" t="n">
        <f aca="false">IF(O39&gt;=0,1,0)</f>
        <v>1</v>
      </c>
      <c r="P41" s="17" t="n">
        <f aca="false">IF(P39&gt;=0,1,0)</f>
        <v>1</v>
      </c>
      <c r="Q41" s="17" t="n">
        <f aca="false">IF(Q39&gt;=0,1,0)</f>
        <v>1</v>
      </c>
      <c r="R41" s="17" t="n">
        <f aca="false">IF(R39&gt;=0,1,0)</f>
        <v>1</v>
      </c>
      <c r="S41" s="17" t="n">
        <f aca="false">IF(S39&gt;=0,1,0)</f>
        <v>1</v>
      </c>
      <c r="T41" s="17" t="n">
        <f aca="false">IF(T39&gt;=0,1,0)</f>
        <v>1</v>
      </c>
      <c r="U41" s="17" t="n">
        <f aca="false">IF(U39&gt;=0,1,0)</f>
        <v>1</v>
      </c>
      <c r="V41" s="17" t="n">
        <f aca="false">IF(V39&gt;=0,1,0)</f>
        <v>1</v>
      </c>
      <c r="W41" s="17" t="n">
        <f aca="false">IF(W39&gt;=0,1,0)</f>
        <v>1</v>
      </c>
      <c r="X41" s="17" t="n">
        <f aca="false">IF(X39&gt;=0,1,0)</f>
        <v>1</v>
      </c>
      <c r="Y41" s="17" t="n">
        <f aca="false">IF(Y39&gt;=0,1,0)</f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LibreOffice/26.8.0.3$MacOSX_AARCH64 LibreOffice_project/bce0998afefdbc355585ca324285661a2170ba77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2026-09-29T22:03:47Z</dcterms:created>
  <dc:creator>openpyxl</dc:creator>
  <dc:description/>
  <dc:language>ru-RU</dc:language>
  <cp:lastModifiedBy/>
  <dcterms:modified xsi:type="dcterms:W3CDTF">2026-09-29T22:03:47Z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