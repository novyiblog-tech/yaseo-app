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Параметры" sheetId="2" state="visible" r:id="rId2"/>
    <sheet xmlns:r="http://schemas.openxmlformats.org/officeDocument/2006/relationships" name="Осторожный" sheetId="3" state="visible" r:id="rId3"/>
    <sheet xmlns:r="http://schemas.openxmlformats.org/officeDocument/2006/relationships" name="Средний" sheetId="4" state="visible" r:id="rId4"/>
    <sheet xmlns:r="http://schemas.openxmlformats.org/officeDocument/2006/relationships" name="Смелый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#,##0.00;(#,##0.00);&quot;-&quot;"/>
    <numFmt numFmtId="166" formatCode="0.0%;(0.0%);&quot;-&quot;"/>
    <numFmt numFmtId="167" formatCode="#,##0.0;(#,##0.0);&quot;-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2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" fontId="5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6" fontId="4" fillId="3" borderId="0" pivotButton="0" quotePrefix="0" xfId="0"/>
    <xf numFmtId="165" fontId="2" fillId="3" borderId="0" pivotButton="0" quotePrefix="0" xfId="0"/>
    <xf numFmtId="165" fontId="4" fillId="3" borderId="0" pivotButton="0" quotePrefix="0" xfId="0"/>
    <xf numFmtId="167" fontId="2" fillId="0" borderId="0" pivotButton="0" quotePrefix="0" xfId="0"/>
    <xf numFmtId="167" fontId="4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6" fontId="2" fillId="3" borderId="0" pivotButton="0" quotePrefix="0" xfId="0"/>
    <xf numFmtId="164" fontId="2" fillId="3" borderId="0" pivotButton="0" quotePrefix="0" xfId="0"/>
    <xf numFmtId="164" fontId="4" fillId="3" borderId="0" pivotButton="0" quotePrefix="0" xfId="0"/>
    <xf numFmtId="167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yaSEO — сводка по трём сценариям</t>
        </is>
      </c>
    </row>
    <row r="2" ht="32" customHeight="1">
      <c r="A2" s="2" t="inlineStr">
        <is>
          <t>Все числа считаются из листа «Параметры». Это модель на допущениях: конверсии, отток и поток посетителей до беты не измерены.</t>
        </is>
      </c>
    </row>
    <row r="4">
      <c r="A4" s="3" t="inlineStr">
        <is>
          <t>Показатель</t>
        </is>
      </c>
      <c r="B4" s="3" t="inlineStr">
        <is>
          <t>Осторожный</t>
        </is>
      </c>
      <c r="C4" s="3" t="inlineStr">
        <is>
          <t>Средний</t>
        </is>
      </c>
      <c r="D4" s="3" t="inlineStr">
        <is>
          <t>Смелый</t>
        </is>
      </c>
    </row>
    <row r="5">
      <c r="A5" s="4" t="inlineStr">
        <is>
          <t>Активные подписчики, месяц 12</t>
        </is>
      </c>
      <c r="B5" s="5">
        <f>'Осторожный'!M13</f>
        <v/>
      </c>
      <c r="C5" s="5">
        <f>'Средний'!M13</f>
        <v/>
      </c>
      <c r="D5" s="5">
        <f>'Смелый'!M13</f>
        <v/>
      </c>
    </row>
    <row r="6">
      <c r="A6" s="4" t="inlineStr">
        <is>
          <t>Активные подписчики, месяц 24</t>
        </is>
      </c>
      <c r="B6" s="5">
        <f>'Осторожный'!Y13</f>
        <v/>
      </c>
      <c r="C6" s="5">
        <f>'Средний'!Y13</f>
        <v/>
      </c>
      <c r="D6" s="5">
        <f>'Смелый'!Y13</f>
        <v/>
      </c>
    </row>
    <row r="7">
      <c r="A7" s="4" t="inlineStr">
        <is>
          <t>Выручка подписок за месяц 12</t>
        </is>
      </c>
      <c r="B7" s="6">
        <f>'Осторожный'!M18</f>
        <v/>
      </c>
      <c r="C7" s="6">
        <f>'Средний'!M18</f>
        <v/>
      </c>
      <c r="D7" s="6">
        <f>'Смелый'!M18</f>
        <v/>
      </c>
    </row>
    <row r="8">
      <c r="A8" s="4" t="inlineStr">
        <is>
          <t>Выручка подписок за месяц 24</t>
        </is>
      </c>
      <c r="B8" s="6">
        <f>'Осторожный'!Y18</f>
        <v/>
      </c>
      <c r="C8" s="6">
        <f>'Средний'!Y18</f>
        <v/>
      </c>
      <c r="D8" s="6">
        <f>'Смелый'!Y18</f>
        <v/>
      </c>
    </row>
    <row r="9">
      <c r="A9" s="4" t="inlineStr">
        <is>
          <t>Выручка за первый год</t>
        </is>
      </c>
      <c r="B9" s="6">
        <f>SUM('Осторожный'!B20:M20)</f>
        <v/>
      </c>
      <c r="C9" s="6">
        <f>SUM('Средний'!B20:M20)</f>
        <v/>
      </c>
      <c r="D9" s="6">
        <f>SUM('Смелый'!B20:M20)</f>
        <v/>
      </c>
    </row>
    <row r="10">
      <c r="A10" s="4" t="inlineStr">
        <is>
          <t>Выручка за второй год</t>
        </is>
      </c>
      <c r="B10" s="6">
        <f>SUM('Осторожный'!N20:Y20)</f>
        <v/>
      </c>
      <c r="C10" s="6">
        <f>SUM('Средний'!N20:Y20)</f>
        <v/>
      </c>
      <c r="D10" s="6">
        <f>SUM('Смелый'!N20:Y20)</f>
        <v/>
      </c>
    </row>
    <row r="11">
      <c r="A11" s="4" t="inlineStr">
        <is>
          <t>Прибыль за первый год</t>
        </is>
      </c>
      <c r="B11" s="6">
        <f>SUM('Осторожный'!B38:M38)</f>
        <v/>
      </c>
      <c r="C11" s="6">
        <f>SUM('Средний'!B38:M38)</f>
        <v/>
      </c>
      <c r="D11" s="6">
        <f>SUM('Смелый'!B38:M38)</f>
        <v/>
      </c>
    </row>
    <row r="12">
      <c r="A12" s="4" t="inlineStr">
        <is>
          <t>Прибыль за второй год</t>
        </is>
      </c>
      <c r="B12" s="6">
        <f>SUM('Осторожный'!N38:Y38)</f>
        <v/>
      </c>
      <c r="C12" s="6">
        <f>SUM('Средний'!N38:Y38)</f>
        <v/>
      </c>
      <c r="D12" s="6">
        <f>SUM('Смелый'!N38:Y38)</f>
        <v/>
      </c>
    </row>
    <row r="13">
      <c r="A13" s="4" t="inlineStr">
        <is>
          <t>Накопленный итог на конец месяца 24</t>
        </is>
      </c>
      <c r="B13" s="6">
        <f>'Осторожный'!Y39</f>
        <v/>
      </c>
      <c r="C13" s="6">
        <f>'Средний'!Y39</f>
        <v/>
      </c>
      <c r="D13" s="6">
        <f>'Смелый'!Y39</f>
        <v/>
      </c>
    </row>
    <row r="14">
      <c r="A14" s="4" t="inlineStr">
        <is>
          <t>Самая глубокая яма (сколько денег нужно вложить)</t>
        </is>
      </c>
      <c r="B14" s="6">
        <f>MIN(0,MIN('Осторожный'!B39:Y39))</f>
        <v/>
      </c>
      <c r="C14" s="6">
        <f>MIN(0,MIN('Средний'!B39:Y39))</f>
        <v/>
      </c>
      <c r="D14" s="6">
        <f>MIN(0,MIN('Смелый'!B39:Y39))</f>
        <v/>
      </c>
    </row>
    <row r="15">
      <c r="A15" s="4" t="inlineStr">
        <is>
          <t>Первый прибыльный месяц</t>
        </is>
      </c>
      <c r="B15" s="7">
        <f>IFERROR(MATCH(1,'Осторожный'!B40:Y40,0),"за 24 месяца нет")</f>
        <v/>
      </c>
      <c r="C15" s="7">
        <f>IFERROR(MATCH(1,'Средний'!B40:Y40,0),"за 24 месяца нет")</f>
        <v/>
      </c>
      <c r="D15" s="7">
        <f>IFERROR(MATCH(1,'Смелый'!B40:Y40,0),"за 24 месяца нет")</f>
        <v/>
      </c>
    </row>
    <row r="16">
      <c r="A16" s="4" t="inlineStr">
        <is>
          <t>Месяц возврата вложений</t>
        </is>
      </c>
      <c r="B16" s="7">
        <f>IFERROR(MATCH(1,'Осторожный'!B41:Y41,0),"за 24 месяца нет")</f>
        <v/>
      </c>
      <c r="C16" s="7">
        <f>IFERROR(MATCH(1,'Средний'!B41:Y41,0),"за 24 месяца нет")</f>
        <v/>
      </c>
      <c r="D16" s="7">
        <f>IFERROR(MATCH(1,'Смелый'!B41:Y41,0),"за 24 месяца нет")</f>
        <v/>
      </c>
    </row>
    <row r="17">
      <c r="A17" s="4" t="inlineStr">
        <is>
          <t>Подписчиков для выхода в ноль при текущих расходах</t>
        </is>
      </c>
      <c r="B17" s="5">
        <f>IF(B19&gt;0,('Параметры'!$B$32+'Параметры'!$B$33+'Параметры'!$B$34+'Параметры'!$B$35+'Параметры'!$B$36+'Параметры'!$B$41+'Параметры'!$B$37+'Параметры'!$B$28/12)/B19,0)</f>
        <v/>
      </c>
      <c r="C17" s="5">
        <f>IF(C19&gt;0,('Параметры'!$C$32+'Параметры'!$C$33+'Параметры'!$C$34+'Параметры'!$C$35+'Параметры'!$C$36+'Параметры'!$C$41+'Параметры'!$C$37+'Параметры'!$C$28/12)/C19,0)</f>
        <v/>
      </c>
      <c r="D17" s="5">
        <f>IF(D19&gt;0,('Параметры'!$D$32+'Параметры'!$D$33+'Параметры'!$D$34+'Параметры'!$D$35+'Параметры'!$D$36+'Параметры'!$D$41+'Параметры'!$D$37+'Параметры'!$D$28/12)/D19,0)</f>
        <v/>
      </c>
    </row>
    <row r="18">
      <c r="A18" s="4" t="inlineStr">
        <is>
          <t>Средний чек подписки</t>
        </is>
      </c>
      <c r="B18" s="6">
        <f>'Параметры'!$B$49*'Параметры'!$B$6+'Параметры'!$B$50*'Параметры'!$B$7+'Параметры'!$B$51*'Параметры'!$B$8</f>
        <v/>
      </c>
      <c r="C18" s="6">
        <f>'Параметры'!$C$49*'Параметры'!$C$6+'Параметры'!$C$50*'Параметры'!$C$7+'Параметры'!$C$51*'Параметры'!$C$8</f>
        <v/>
      </c>
      <c r="D18" s="6">
        <f>'Параметры'!$D$49*'Параметры'!$D$6+'Параметры'!$D$50*'Параметры'!$D$7+'Параметры'!$D$51*'Параметры'!$D$8</f>
        <v/>
      </c>
    </row>
    <row r="19">
      <c r="A19" s="4" t="inlineStr">
        <is>
          <t>Маржа с подписчика в месяц</t>
        </is>
      </c>
      <c r="B19" s="8">
        <f>B18*(1-'Параметры'!$B$24-'Параметры'!$B$25-'Параметры'!$B$30)-('Параметры'!$B$49*'Параметры'!$B$11+'Параметры'!$B$50*'Параметры'!$B$12+'Параметры'!$B$51*'Параметры'!$B$13)*'Параметры'!$B$16-('Параметры'!$B$49*'Параметры'!$B$20+'Параметры'!$B$50*'Параметры'!$B$21+'Параметры'!$B$51*'Параметры'!$B$22)*'Параметры'!$B$16*'Параметры'!$B$18</f>
        <v/>
      </c>
      <c r="C19" s="8">
        <f>C18*(1-'Параметры'!$C$24-'Параметры'!$C$25-'Параметры'!$C$30)-('Параметры'!$C$49*'Параметры'!$C$11+'Параметры'!$C$50*'Параметры'!$C$12+'Параметры'!$C$51*'Параметры'!$C$13)*'Параметры'!$C$16-('Параметры'!$C$49*'Параметры'!$C$20+'Параметры'!$C$50*'Параметры'!$C$21+'Параметры'!$C$51*'Параметры'!$C$22)*'Параметры'!$C$16*'Параметры'!$C$18</f>
        <v/>
      </c>
      <c r="D19" s="8">
        <f>D18*(1-'Параметры'!$D$24-'Параметры'!$D$25-'Параметры'!$D$30)-('Параметры'!$D$49*'Параметры'!$D$11+'Параметры'!$D$50*'Параметры'!$D$12+'Параметры'!$D$51*'Параметры'!$D$13)*'Параметры'!$D$16-('Параметры'!$D$49*'Параметры'!$D$20+'Параметры'!$D$50*'Параметры'!$D$21+'Параметры'!$D$51*'Параметры'!$D$22)*'Параметры'!$D$16*'Параметры'!$D$18</f>
        <v/>
      </c>
    </row>
    <row r="20">
      <c r="A20" s="4" t="inlineStr">
        <is>
          <t>Срок жизни подписчика, месяцев</t>
        </is>
      </c>
      <c r="B20" s="5">
        <f>IF('Параметры'!$B$47&gt;0,1/'Параметры'!$B$47,0)</f>
        <v/>
      </c>
      <c r="C20" s="5">
        <f>IF('Параметры'!$C$47&gt;0,1/'Параметры'!$C$47,0)</f>
        <v/>
      </c>
      <c r="D20" s="5">
        <f>IF('Параметры'!$D$47&gt;0,1/'Параметры'!$D$47,0)</f>
        <v/>
      </c>
    </row>
    <row r="21">
      <c r="A21" s="4" t="inlineStr">
        <is>
          <t>Доход с подписчика за срок жизни (LTV)</t>
        </is>
      </c>
      <c r="B21" s="8">
        <f>B19*B20</f>
        <v/>
      </c>
      <c r="C21" s="8">
        <f>C19*C20</f>
        <v/>
      </c>
      <c r="D21" s="8">
        <f>D19*D20</f>
        <v/>
      </c>
    </row>
    <row r="22">
      <c r="A22" s="4" t="inlineStr">
        <is>
          <t>Цена привлечения подписчика из рекламы (CAC)</t>
        </is>
      </c>
      <c r="B22" s="6">
        <f>IF('Параметры'!$B$41=0,"рекламы нет",IF('Параметры'!$B$44*'Параметры'!$B$45&gt;0,'Параметры'!$B$42/('Параметры'!$B$44*'Параметры'!$B$45),0))</f>
        <v/>
      </c>
      <c r="C22" s="6">
        <f>IF('Параметры'!$C$41=0,"рекламы нет",IF('Параметры'!$C$44*'Параметры'!$C$45&gt;0,'Параметры'!$C$42/('Параметры'!$C$44*'Параметры'!$C$45),0))</f>
        <v/>
      </c>
      <c r="D22" s="6">
        <f>IF('Параметры'!$D$41=0,"рекламы нет",IF('Параметры'!$D$44*'Параметры'!$D$45&gt;0,'Параметры'!$D$42/('Параметры'!$D$44*'Параметры'!$D$45),0))</f>
        <v/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6" customWidth="1" min="5" max="5"/>
    <col width="90" customWidth="1" min="6" max="6"/>
  </cols>
  <sheetData>
    <row r="1">
      <c r="A1" s="1" t="inlineStr">
        <is>
          <t>yaSEO — параметры финмодели</t>
        </is>
      </c>
    </row>
    <row r="2" ht="44" customHeight="1">
      <c r="A2" s="2" t="inlineStr">
        <is>
          <t>Синие числа — вводные, их можно менять. Жёлтая заливка — допущения без замера, их проверяет бета. Чёрные и зелёные ячейки — формулы, их не трогать. Общий параметр меняется в столбце «Средний», остальные два подтянутся.</t>
        </is>
      </c>
    </row>
    <row r="4">
      <c r="A4" s="3" t="inlineStr">
        <is>
          <t>Параметр</t>
        </is>
      </c>
      <c r="B4" s="3" t="inlineStr">
        <is>
          <t>Осторожный</t>
        </is>
      </c>
      <c r="C4" s="3" t="inlineStr">
        <is>
          <t>Средний</t>
        </is>
      </c>
      <c r="D4" s="3" t="inlineStr">
        <is>
          <t>Смелый</t>
        </is>
      </c>
      <c r="E4" s="3" t="inlineStr">
        <is>
          <t>Единица</t>
        </is>
      </c>
      <c r="F4" s="3" t="inlineStr">
        <is>
          <t>Источник и пояснение</t>
        </is>
      </c>
    </row>
    <row r="5">
      <c r="A5" s="9" t="inlineStr">
        <is>
          <t>Цены</t>
        </is>
      </c>
    </row>
    <row r="6">
      <c r="A6" s="4" t="inlineStr">
        <is>
          <t>Старт, подписка в месяц</t>
        </is>
      </c>
      <c r="B6" s="8">
        <f>C6</f>
        <v/>
      </c>
      <c r="C6" s="10" t="n">
        <v>2990</v>
      </c>
      <c r="D6" s="8">
        <f>C6</f>
        <v/>
      </c>
      <c r="E6" s="4" t="inlineStr">
        <is>
          <t>₽</t>
        </is>
      </c>
      <c r="F6" s="2" t="inlineStr">
        <is>
          <t>docs/PLAN.md §4, тарифы версии 3 от 30.09.2026. Назначена по ценам конкурентов, не расчётом</t>
        </is>
      </c>
    </row>
    <row r="7">
      <c r="A7" s="4" t="inlineStr">
        <is>
          <t>Про, подписка в месяц</t>
        </is>
      </c>
      <c r="B7" s="8">
        <f>C7</f>
        <v/>
      </c>
      <c r="C7" s="10" t="n">
        <v>4990</v>
      </c>
      <c r="D7" s="8">
        <f>C7</f>
        <v/>
      </c>
      <c r="E7" s="4" t="inlineStr">
        <is>
          <t>₽</t>
        </is>
      </c>
      <c r="F7" s="2" t="inlineStr">
        <is>
          <t>docs/PLAN.md §4, тарифы версии 3 от 30.09.2026</t>
        </is>
      </c>
    </row>
    <row r="8">
      <c r="A8" s="4" t="inlineStr">
        <is>
          <t>Ультра, подписка в месяц</t>
        </is>
      </c>
      <c r="B8" s="8">
        <f>C8</f>
        <v/>
      </c>
      <c r="C8" s="10" t="n">
        <v>12900</v>
      </c>
      <c r="D8" s="8">
        <f>C8</f>
        <v/>
      </c>
      <c r="E8" s="4" t="inlineStr">
        <is>
          <t>₽</t>
        </is>
      </c>
      <c r="F8" s="2" t="inlineStr">
        <is>
          <t>docs/PLAN.md §4, тарифы версии 3 от 30.09.2026</t>
        </is>
      </c>
    </row>
    <row r="9">
      <c r="A9" s="4" t="inlineStr">
        <is>
          <t>Разовый аудит</t>
        </is>
      </c>
      <c r="B9" s="8">
        <f>C9</f>
        <v/>
      </c>
      <c r="C9" s="10" t="n">
        <v>1990</v>
      </c>
      <c r="D9" s="8">
        <f>C9</f>
        <v/>
      </c>
      <c r="E9" s="4" t="inlineStr">
        <is>
          <t>₽</t>
        </is>
      </c>
      <c r="F9" s="2" t="inlineStr">
        <is>
          <t>docs/PLAN.md §4, тарифы версии 3 от 30.09.2026</t>
        </is>
      </c>
    </row>
    <row r="10">
      <c r="A10" s="9" t="inlineStr">
        <is>
          <t>Себестоимость API Яндекса</t>
        </is>
      </c>
    </row>
    <row r="11">
      <c r="A11" s="4" t="inlineStr">
        <is>
          <t>Старт при полной выборке лимитов</t>
        </is>
      </c>
      <c r="B11" s="8">
        <f>C11</f>
        <v/>
      </c>
      <c r="C11" s="10" t="n">
        <v>434</v>
      </c>
      <c r="D11" s="8">
        <f>C11</f>
        <v/>
      </c>
      <c r="E11" s="4" t="inlineStr">
        <is>
          <t>₽ в месяц</t>
        </is>
      </c>
      <c r="F11" s="2" t="inlineStr">
        <is>
          <t>Тарифы Yandex Search API, aistudio.yandex.ru/ru/docs/search-api/pricing, замер 29.09.2026, с НДС. 500 фраз ежедневно ночью, 2 аудита по 20 фраз, 10 ответов нейросети</t>
        </is>
      </c>
    </row>
    <row r="12">
      <c r="A12" s="4" t="inlineStr">
        <is>
          <t>Про при полной выборке лимитов</t>
        </is>
      </c>
      <c r="B12" s="8">
        <f>C12</f>
        <v/>
      </c>
      <c r="C12" s="10" t="n">
        <v>1405</v>
      </c>
      <c r="D12" s="8">
        <f>C12</f>
        <v/>
      </c>
      <c r="E12" s="4" t="inlineStr">
        <is>
          <t>₽ в месяц</t>
        </is>
      </c>
      <c r="F12" s="2" t="inlineStr">
        <is>
          <t>Тарифы Yandex Search API, aistudio.yandex.ru/ru/docs/search-api/pricing, замер 29.09.2026, с НДС. 1 500 фраз, 5 аудитов по 30 фраз, 50 ответов</t>
        </is>
      </c>
    </row>
    <row r="13">
      <c r="A13" s="4" t="inlineStr">
        <is>
          <t>Ультра при полной выборке лимитов</t>
        </is>
      </c>
      <c r="B13" s="8">
        <f>C13</f>
        <v/>
      </c>
      <c r="C13" s="10" t="n">
        <v>3099</v>
      </c>
      <c r="D13" s="8">
        <f>C13</f>
        <v/>
      </c>
      <c r="E13" s="4" t="inlineStr">
        <is>
          <t>₽ в месяц</t>
        </is>
      </c>
      <c r="F13" s="2" t="inlineStr">
        <is>
          <t>Тарифы Yandex Search API, aistudio.yandex.ru/ru/docs/search-api/pricing, замер 29.09.2026, с НДС. 3 000 фраз, 20 аудитов по 50 фраз, 150 ответов</t>
        </is>
      </c>
    </row>
    <row r="14">
      <c r="A14" s="4" t="inlineStr">
        <is>
          <t>Один полный аудит</t>
        </is>
      </c>
      <c r="B14" s="11">
        <f>C14</f>
        <v/>
      </c>
      <c r="C14" s="12" t="n">
        <v>27.77</v>
      </c>
      <c r="D14" s="11">
        <f>C14</f>
        <v/>
      </c>
      <c r="E14" s="4" t="inlineStr">
        <is>
          <t>₽</t>
        </is>
      </c>
      <c r="F14" s="2" t="inlineStr">
        <is>
          <t>Тарифы Yandex Search API, aistudio.yandex.ru/ru/docs/search-api/pricing, замер 29.09.2026, с НДС. 30 запросов выдачи, 60 Wordstat, 5 по регионам, 5 генеративных</t>
        </is>
      </c>
    </row>
    <row r="15">
      <c r="A15" s="4" t="inlineStr">
        <is>
          <t>Одна бесплатная экспресс-проверка</t>
        </is>
      </c>
      <c r="B15" s="11">
        <f>C15</f>
        <v/>
      </c>
      <c r="C15" s="12" t="n">
        <v>0.4</v>
      </c>
      <c r="D15" s="11">
        <f>C15</f>
        <v/>
      </c>
      <c r="E15" s="4" t="inlineStr">
        <is>
          <t>₽</t>
        </is>
      </c>
      <c r="F15" s="2" t="inlineStr">
        <is>
          <t>Тарифы Yandex Search API, aistudio.yandex.ru/ru/docs/search-api/pricing, замер 29.09.2026, с НДС. 5 запросов выдачи, 10 Wordstat</t>
        </is>
      </c>
    </row>
    <row r="16">
      <c r="A16" s="4" t="inlineStr">
        <is>
          <t>Доля лимитов, которую подписчик выбирает на деле</t>
        </is>
      </c>
      <c r="B16" s="13" t="n">
        <v>0.8</v>
      </c>
      <c r="C16" s="13" t="n">
        <v>0.6</v>
      </c>
      <c r="D16" s="13" t="n">
        <v>0.5</v>
      </c>
      <c r="E16" s="4" t="inlineStr">
        <is>
          <t>доля</t>
        </is>
      </c>
      <c r="F16" s="2" t="inlineStr">
        <is>
          <t>Допущение. Замеряется на бете по журналу расхода</t>
        </is>
      </c>
    </row>
    <row r="17">
      <c r="A17" s="9" t="inlineStr">
        <is>
          <t>LLM на тексты рекомендаций</t>
        </is>
      </c>
    </row>
    <row r="18">
      <c r="A18" s="4" t="inlineStr">
        <is>
          <t>Текст одного полного отчёта</t>
        </is>
      </c>
      <c r="B18" s="14">
        <f>C18</f>
        <v/>
      </c>
      <c r="C18" s="15" t="n">
        <v>19.2</v>
      </c>
      <c r="D18" s="14">
        <f>C18</f>
        <v/>
      </c>
      <c r="E18" s="4" t="inlineStr">
        <is>
          <t>₽</t>
        </is>
      </c>
      <c r="F18" s="2" t="inlineStr">
        <is>
          <t>YandexGPT Pro 5.1, 0,8 ₽ за 1000 токенов с НДС (aistudio.yandex.ru/ru/docs/ai-studio/pricing, прочитано 30.09.2026). Объём 20 000 входных и 4 000 выходных токенов на отчёт — допущение, модель не выбрана</t>
        </is>
      </c>
    </row>
    <row r="19">
      <c r="A19" s="4" t="inlineStr">
        <is>
          <t>Текст одной экспресс-проверки</t>
        </is>
      </c>
      <c r="B19" s="14">
        <f>C19</f>
        <v/>
      </c>
      <c r="C19" s="15" t="n">
        <v>4.8</v>
      </c>
      <c r="D19" s="14">
        <f>C19</f>
        <v/>
      </c>
      <c r="E19" s="4" t="inlineStr">
        <is>
          <t>₽</t>
        </is>
      </c>
      <c r="F19" s="2" t="inlineStr">
        <is>
          <t>Та же модель и цена. Объём 5 000 входных и 1 000 выходных токенов — допущение</t>
        </is>
      </c>
    </row>
    <row r="20">
      <c r="A20" s="4" t="inlineStr">
        <is>
          <t>Старт: полных аудитов в месяц</t>
        </is>
      </c>
      <c r="B20" s="16">
        <f>C20</f>
        <v/>
      </c>
      <c r="C20" s="17" t="n">
        <v>2</v>
      </c>
      <c r="D20" s="16">
        <f>C20</f>
        <v/>
      </c>
      <c r="E20" s="4" t="inlineStr">
        <is>
          <t>шт.</t>
        </is>
      </c>
      <c r="F20" s="2" t="inlineStr">
        <is>
          <t>docs/PLAN.md §4, тарифы версии 3 от 30.09.2026</t>
        </is>
      </c>
    </row>
    <row r="21">
      <c r="A21" s="4" t="inlineStr">
        <is>
          <t>Про: полных аудитов в месяц</t>
        </is>
      </c>
      <c r="B21" s="16">
        <f>C21</f>
        <v/>
      </c>
      <c r="C21" s="17" t="n">
        <v>5</v>
      </c>
      <c r="D21" s="16">
        <f>C21</f>
        <v/>
      </c>
      <c r="E21" s="4" t="inlineStr">
        <is>
          <t>шт.</t>
        </is>
      </c>
      <c r="F21" s="2" t="inlineStr">
        <is>
          <t>docs/PLAN.md §4, тарифы версии 3 от 30.09.2026</t>
        </is>
      </c>
    </row>
    <row r="22">
      <c r="A22" s="4" t="inlineStr">
        <is>
          <t>Ультра: полных аудитов в месяц</t>
        </is>
      </c>
      <c r="B22" s="16">
        <f>C22</f>
        <v/>
      </c>
      <c r="C22" s="17" t="n">
        <v>20</v>
      </c>
      <c r="D22" s="16">
        <f>C22</f>
        <v/>
      </c>
      <c r="E22" s="4" t="inlineStr">
        <is>
          <t>шт.</t>
        </is>
      </c>
      <c r="F22" s="2" t="inlineStr">
        <is>
          <t>docs/PLAN.md §4, тарифы версии 3 от 30.09.2026</t>
        </is>
      </c>
    </row>
    <row r="23">
      <c r="A23" s="9" t="inlineStr">
        <is>
          <t>Платежи и налоги</t>
        </is>
      </c>
    </row>
    <row r="24">
      <c r="A24" s="4" t="inlineStr">
        <is>
          <t>Эквайринг</t>
        </is>
      </c>
      <c r="B24" s="18">
        <f>C24</f>
        <v/>
      </c>
      <c r="C24" s="19" t="n">
        <v>0.038</v>
      </c>
      <c r="D24" s="18">
        <f>C24</f>
        <v/>
      </c>
      <c r="E24" s="4" t="inlineStr">
        <is>
          <t>доля выручки</t>
        </is>
      </c>
      <c r="F24" s="2" t="inlineStr">
        <is>
          <t>ЮKassa: 2,8% за платёж картой плюс 1% за чек при подключении «Чеков от ЮKassa» (yookassa.ru/fees, прочитано 30.09.2026). Без чеков — 3,5%. Комиссия за СБП на сайте не названа</t>
        </is>
      </c>
    </row>
    <row r="25">
      <c r="A25" s="4" t="inlineStr">
        <is>
          <t>Налог УСН «доходы»</t>
        </is>
      </c>
      <c r="B25" s="20">
        <f>C25</f>
        <v/>
      </c>
      <c r="C25" s="13" t="n">
        <v>0.06</v>
      </c>
      <c r="D25" s="20">
        <f>C25</f>
        <v/>
      </c>
      <c r="E25" s="4" t="inlineStr">
        <is>
          <t>доля выручки</t>
        </is>
      </c>
      <c r="F25" s="2" t="inlineStr">
        <is>
          <t>УСН «доходы», базовая ставка 6% (nalog.gov.ru, закон 425-ФЗ, в силе с 01.01.2026). Режим ИП владельцами не выбран. Уменьшение налога на взносы не учтено</t>
        </is>
      </c>
    </row>
    <row r="26">
      <c r="A26" s="4" t="inlineStr">
        <is>
          <t>Порог выручки за 12 месяцев, после которого платится НДС</t>
        </is>
      </c>
      <c r="B26" s="8">
        <f>C26</f>
        <v/>
      </c>
      <c r="C26" s="10" t="n">
        <v>20000000</v>
      </c>
      <c r="D26" s="8">
        <f>C26</f>
        <v/>
      </c>
      <c r="E26" s="4" t="inlineStr">
        <is>
          <t>₽</t>
        </is>
      </c>
      <c r="F26" s="2" t="inlineStr">
        <is>
          <t>nalog.gov.ru/new2026, прочитано 30.09.2026: НДС на УСН возникает при доходе свыше 20 млн ₽ за прошлый год. В модели порог проверяется по выручке за последние 12 месяцев — приближение</t>
        </is>
      </c>
    </row>
    <row r="27">
      <c r="A27" s="4" t="inlineStr">
        <is>
          <t>НДС после порога</t>
        </is>
      </c>
      <c r="B27" s="18">
        <f>C27</f>
        <v/>
      </c>
      <c r="C27" s="19" t="n">
        <v>0.05</v>
      </c>
      <c r="D27" s="18">
        <f>C27</f>
        <v/>
      </c>
      <c r="E27" s="4" t="inlineStr">
        <is>
          <t>доля выручки</t>
        </is>
      </c>
      <c r="F27" s="2" t="inlineStr">
        <is>
          <t>nalog.gov.ru/new2026, прочитано 30.09.2026: 5% без вычетов при доходе от 20 до 272,5 млн ₽</t>
        </is>
      </c>
    </row>
    <row r="28">
      <c r="A28" s="4" t="inlineStr">
        <is>
          <t>Фиксированные страховые взносы ИП за год</t>
        </is>
      </c>
      <c r="B28" s="21">
        <f>C28</f>
        <v/>
      </c>
      <c r="C28" s="22" t="n">
        <v>57390</v>
      </c>
      <c r="D28" s="21">
        <f>C28</f>
        <v/>
      </c>
      <c r="E28" s="4" t="inlineStr">
        <is>
          <t>₽ в год</t>
        </is>
      </c>
      <c r="F28" s="2" t="inlineStr">
        <is>
          <t>НЕ ПРОВЕРЕНО ПО ПЕРВОИСТОЧНИКУ: число из поисковой выдачи (справочные сайты), статья 430 НК РФ не прочитана</t>
        </is>
      </c>
    </row>
    <row r="29">
      <c r="A29" s="4" t="inlineStr">
        <is>
          <t>Годовой доход, сверх которого берётся дополнительный взнос</t>
        </is>
      </c>
      <c r="B29" s="21">
        <f>C29</f>
        <v/>
      </c>
      <c r="C29" s="22" t="n">
        <v>300000</v>
      </c>
      <c r="D29" s="21">
        <f>C29</f>
        <v/>
      </c>
      <c r="E29" s="4" t="inlineStr">
        <is>
          <t>₽ в год</t>
        </is>
      </c>
      <c r="F29" s="2" t="inlineStr">
        <is>
          <t>НЕ ПРОВЕРЕНО ПО ПЕРВОИСТОЧНИКУ: из поисковой выдачи</t>
        </is>
      </c>
    </row>
    <row r="30">
      <c r="A30" s="4" t="inlineStr">
        <is>
          <t>Дополнительный взнос с дохода сверх порога</t>
        </is>
      </c>
      <c r="B30" s="20">
        <f>C30</f>
        <v/>
      </c>
      <c r="C30" s="13" t="n">
        <v>0.01</v>
      </c>
      <c r="D30" s="20">
        <f>C30</f>
        <v/>
      </c>
      <c r="E30" s="4" t="inlineStr">
        <is>
          <t>доля</t>
        </is>
      </c>
      <c r="F30" s="2" t="inlineStr">
        <is>
          <t>НЕ ПРОВЕРЕНО ПО ПЕРВОИСТОЧНИКУ: из поисковой выдачи. Потолок взноса 321 818 ₽ в модели не учтён</t>
        </is>
      </c>
    </row>
    <row r="31">
      <c r="A31" s="9" t="inlineStr">
        <is>
          <t>Постоянные расходы в месяц</t>
        </is>
      </c>
    </row>
    <row r="32">
      <c r="A32" s="4" t="inlineStr">
        <is>
          <t>Сервер</t>
        </is>
      </c>
      <c r="B32" s="8">
        <f>C32</f>
        <v/>
      </c>
      <c r="C32" s="10" t="n">
        <v>1800</v>
      </c>
      <c r="D32" s="8">
        <f>C32</f>
        <v/>
      </c>
      <c r="E32" s="4" t="inlineStr">
        <is>
          <t>₽</t>
        </is>
      </c>
      <c r="F32" s="2" t="inlineStr">
        <is>
          <t>Timeweb Cloud, тариф Cloud-80: 4 ядра, 8 ГБ, 80 ГБ NVMe (timeweb.cloud/services/cloud-servers, прочитано 30.09.2026). Selectel и Yandex Cloud — около 5 900 ₽</t>
        </is>
      </c>
    </row>
    <row r="33">
      <c r="A33" s="4" t="inlineStr">
        <is>
          <t>База данных</t>
        </is>
      </c>
      <c r="B33" s="8">
        <f>C33</f>
        <v/>
      </c>
      <c r="C33" s="10" t="n">
        <v>999</v>
      </c>
      <c r="D33" s="8">
        <f>C33</f>
        <v/>
      </c>
      <c r="E33" s="4" t="inlineStr">
        <is>
          <t>₽</t>
        </is>
      </c>
      <c r="F33" s="2" t="inlineStr">
        <is>
          <t>Timeweb Cloud, управляемая PostgreSQL, минимальная конфигурация с публичным IP (timeweb.cloud/services/postgresql, прочитано 30.09.2026)</t>
        </is>
      </c>
    </row>
    <row r="34">
      <c r="A34" s="4" t="inlineStr">
        <is>
          <t>Онлайн-касса</t>
        </is>
      </c>
      <c r="B34" s="8">
        <f>C34</f>
        <v/>
      </c>
      <c r="C34" s="10" t="n">
        <v>0</v>
      </c>
      <c r="D34" s="8">
        <f>C34</f>
        <v/>
      </c>
      <c r="E34" s="4" t="inlineStr">
        <is>
          <t>₽</t>
        </is>
      </c>
      <c r="F34" s="2" t="inlineStr">
        <is>
          <t>Касса через «Чеки от ЮKassa» без абонентской платы, её цена сидит в эквайринге (1% за чек)</t>
        </is>
      </c>
    </row>
    <row r="35">
      <c r="A35" s="4" t="inlineStr">
        <is>
          <t>Домен, почта, рассылки</t>
        </is>
      </c>
      <c r="B35" s="21">
        <f>C35</f>
        <v/>
      </c>
      <c r="C35" s="22" t="n">
        <v>1000</v>
      </c>
      <c r="D35" s="21">
        <f>C35</f>
        <v/>
      </c>
      <c r="E35" s="4" t="inlineStr">
        <is>
          <t>₽</t>
        </is>
      </c>
      <c r="F35" s="2" t="inlineStr">
        <is>
          <t>Допущение</t>
        </is>
      </c>
    </row>
    <row r="36">
      <c r="A36" s="4" t="inlineStr">
        <is>
          <t>Прочее: мониторинг, резервные копии, юрист</t>
        </is>
      </c>
      <c r="B36" s="21">
        <f>C36</f>
        <v/>
      </c>
      <c r="C36" s="22" t="n">
        <v>3000</v>
      </c>
      <c r="D36" s="21">
        <f>C36</f>
        <v/>
      </c>
      <c r="E36" s="4" t="inlineStr">
        <is>
          <t>₽</t>
        </is>
      </c>
      <c r="F36" s="2" t="inlineStr">
        <is>
          <t>Допущение</t>
        </is>
      </c>
    </row>
    <row r="37">
      <c r="A37" s="4" t="inlineStr">
        <is>
          <t>Работа владельцев</t>
        </is>
      </c>
      <c r="B37" s="21">
        <f>C37</f>
        <v/>
      </c>
      <c r="C37" s="22" t="n">
        <v>0</v>
      </c>
      <c r="D37" s="21">
        <f>C37</f>
        <v/>
      </c>
      <c r="E37" s="4" t="inlineStr">
        <is>
          <t>₽</t>
        </is>
      </c>
      <c r="F37" s="2" t="inlineStr">
        <is>
          <t>Решение владельцев. При нуле модель показывает прибыль без оплаты вашего времени</t>
        </is>
      </c>
    </row>
    <row r="38">
      <c r="A38" s="9" t="inlineStr">
        <is>
          <t>Привлечение</t>
        </is>
      </c>
    </row>
    <row r="39">
      <c r="A39" s="4" t="inlineStr">
        <is>
          <t>Посетители бесплатных каналов в первый месяц</t>
        </is>
      </c>
      <c r="B39" s="23" t="n">
        <v>300</v>
      </c>
      <c r="C39" s="23" t="n">
        <v>600</v>
      </c>
      <c r="D39" s="23" t="n">
        <v>1200</v>
      </c>
      <c r="E39" s="4" t="inlineStr">
        <is>
          <t>чел.</t>
        </is>
      </c>
      <c r="F39" s="2" t="inlineStr">
        <is>
          <t>Допущение. Каналы: посты Александра, 32 комментария под постом о yaseo</t>
        </is>
      </c>
    </row>
    <row r="40">
      <c r="A40" s="4" t="inlineStr">
        <is>
          <t>Рост бесплатного потока в месяц</t>
        </is>
      </c>
      <c r="B40" s="13" t="n">
        <v>0.03</v>
      </c>
      <c r="C40" s="13" t="n">
        <v>0.06</v>
      </c>
      <c r="D40" s="13" t="n">
        <v>0.1</v>
      </c>
      <c r="E40" s="4" t="inlineStr">
        <is>
          <t>доля</t>
        </is>
      </c>
      <c r="F40" s="2" t="inlineStr">
        <is>
          <t>Допущение</t>
        </is>
      </c>
    </row>
    <row r="41">
      <c r="A41" s="4" t="inlineStr">
        <is>
          <t>Бюджет на рекламу в месяц</t>
        </is>
      </c>
      <c r="B41" s="22" t="n">
        <v>0</v>
      </c>
      <c r="C41" s="22" t="n">
        <v>30000</v>
      </c>
      <c r="D41" s="22" t="n">
        <v>100000</v>
      </c>
      <c r="E41" s="4" t="inlineStr">
        <is>
          <t>₽</t>
        </is>
      </c>
      <c r="F41" s="2" t="inlineStr">
        <is>
          <t>Решение владельцев</t>
        </is>
      </c>
    </row>
    <row r="42">
      <c r="A42" s="4" t="inlineStr">
        <is>
          <t>Цена одного посетителя из рекламы</t>
        </is>
      </c>
      <c r="B42" s="22" t="n">
        <v>60</v>
      </c>
      <c r="C42" s="22" t="n">
        <v>50</v>
      </c>
      <c r="D42" s="22" t="n">
        <v>40</v>
      </c>
      <c r="E42" s="4" t="inlineStr">
        <is>
          <t>₽</t>
        </is>
      </c>
      <c r="F42" s="2" t="inlineStr">
        <is>
          <t>Допущение, не замерено</t>
        </is>
      </c>
    </row>
    <row r="43">
      <c r="A43" s="9" t="inlineStr">
        <is>
          <t>Конверсии и отток</t>
        </is>
      </c>
    </row>
    <row r="44">
      <c r="A44" s="4" t="inlineStr">
        <is>
          <t>Посетитель → бесплатная проверка</t>
        </is>
      </c>
      <c r="B44" s="13" t="n">
        <v>0.02</v>
      </c>
      <c r="C44" s="13" t="n">
        <v>0.04</v>
      </c>
      <c r="D44" s="13" t="n">
        <v>0.08</v>
      </c>
      <c r="E44" s="4" t="inlineStr">
        <is>
          <t>доля</t>
        </is>
      </c>
      <c r="F44" s="2" t="inlineStr">
        <is>
          <t>Западные исследования, прочитаны в пересказе поисковой выдачи, сами отчёты не открыты; российских данных не найдено. Unbounce, Flint, 2026: лендинг SaaS в среднем 1–5%, продукты с самостоятельной регистрацией 4–10%</t>
        </is>
      </c>
    </row>
    <row r="45">
      <c r="A45" s="4" t="inlineStr">
        <is>
          <t>Бесплатная проверка → подписка</t>
        </is>
      </c>
      <c r="B45" s="13" t="n">
        <v>0.026</v>
      </c>
      <c r="C45" s="13" t="n">
        <v>0.04</v>
      </c>
      <c r="D45" s="13" t="n">
        <v>0.07000000000000001</v>
      </c>
      <c r="E45" s="4" t="inlineStr">
        <is>
          <t>доля</t>
        </is>
      </c>
      <c r="F45" s="2" t="inlineStr">
        <is>
          <t>Западные исследования, прочитаны в пересказе поисковой выдачи, сами отчёты не открыты; российских данных не найдено. ChartMogul, First Page Sage, 2025: из бесплатного тарифа в платный 2,6–8%</t>
        </is>
      </c>
    </row>
    <row r="46">
      <c r="A46" s="4" t="inlineStr">
        <is>
          <t>Бесплатная проверка → разовый аудит</t>
        </is>
      </c>
      <c r="B46" s="13" t="n">
        <v>0.01</v>
      </c>
      <c r="C46" s="13" t="n">
        <v>0.03</v>
      </c>
      <c r="D46" s="13" t="n">
        <v>0.05</v>
      </c>
      <c r="E46" s="4" t="inlineStr">
        <is>
          <t>доля</t>
        </is>
      </c>
      <c r="F46" s="2" t="inlineStr">
        <is>
          <t>Допущение. Разовый аудит не продаёт никто из шести конкурентов, ориентира нет</t>
        </is>
      </c>
    </row>
    <row r="47">
      <c r="A47" s="4" t="inlineStr">
        <is>
          <t>Отток подписчиков в месяц</t>
        </is>
      </c>
      <c r="B47" s="13" t="n">
        <v>0.07000000000000001</v>
      </c>
      <c r="C47" s="13" t="n">
        <v>0.05</v>
      </c>
      <c r="D47" s="13" t="n">
        <v>0.03</v>
      </c>
      <c r="E47" s="4" t="inlineStr">
        <is>
          <t>доля</t>
        </is>
      </c>
      <c r="F47" s="2" t="inlineStr">
        <is>
          <t>Западные исследования, прочитаны в пересказе поисковой выдачи, сами отчёты не открыты; российских данных не найдено. Kalungi, Churnkey, 2025–2026: SaaS для малого бизнеса 3–7% в месяц</t>
        </is>
      </c>
    </row>
    <row r="48">
      <c r="A48" s="9" t="inlineStr">
        <is>
          <t>Распределение подписчиков по тарифам (в сумме 100%)</t>
        </is>
      </c>
    </row>
    <row r="49">
      <c r="A49" s="4" t="inlineStr">
        <is>
          <t>Старт</t>
        </is>
      </c>
      <c r="B49" s="13" t="n">
        <v>0.8</v>
      </c>
      <c r="C49" s="13" t="n">
        <v>0.7</v>
      </c>
      <c r="D49" s="13" t="n">
        <v>0.6</v>
      </c>
      <c r="E49" s="4" t="inlineStr">
        <is>
          <t>доля</t>
        </is>
      </c>
      <c r="F49" s="2" t="inlineStr">
        <is>
          <t>Допущение</t>
        </is>
      </c>
    </row>
    <row r="50">
      <c r="A50" s="4" t="inlineStr">
        <is>
          <t>Про</t>
        </is>
      </c>
      <c r="B50" s="13" t="n">
        <v>0.17</v>
      </c>
      <c r="C50" s="13" t="n">
        <v>0.24</v>
      </c>
      <c r="D50" s="13" t="n">
        <v>0.3</v>
      </c>
      <c r="E50" s="4" t="inlineStr">
        <is>
          <t>доля</t>
        </is>
      </c>
      <c r="F50" s="2" t="inlineStr">
        <is>
          <t>Допущение</t>
        </is>
      </c>
    </row>
    <row r="51">
      <c r="A51" s="4" t="inlineStr">
        <is>
          <t>Ультра</t>
        </is>
      </c>
      <c r="B51" s="13" t="n">
        <v>0.03</v>
      </c>
      <c r="C51" s="13" t="n">
        <v>0.06</v>
      </c>
      <c r="D51" s="13" t="n">
        <v>0.1</v>
      </c>
      <c r="E51" s="4" t="inlineStr">
        <is>
          <t>доля</t>
        </is>
      </c>
      <c r="F51" s="2" t="inlineStr">
        <is>
          <t>Допущение</t>
        </is>
      </c>
    </row>
  </sheetData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yaSEO — сценарий «осторожный», 24 месяцев, ₽</t>
        </is>
      </c>
    </row>
    <row r="3">
      <c r="A3" s="3" t="inlineStr">
        <is>
          <t>Месяц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4">
      <c r="A4" s="9" t="inlineStr">
        <is>
          <t>Поток</t>
        </is>
      </c>
    </row>
    <row r="5">
      <c r="A5" s="4" t="inlineStr">
        <is>
          <t>Посетители бесплатных каналов</t>
        </is>
      </c>
      <c r="B5" s="5">
        <f>'Параметры'!$B$39</f>
        <v/>
      </c>
      <c r="C5" s="5">
        <f>B5*(1+'Параметры'!$B$40)</f>
        <v/>
      </c>
      <c r="D5" s="5">
        <f>C5*(1+'Параметры'!$B$40)</f>
        <v/>
      </c>
      <c r="E5" s="5">
        <f>D5*(1+'Параметры'!$B$40)</f>
        <v/>
      </c>
      <c r="F5" s="5">
        <f>E5*(1+'Параметры'!$B$40)</f>
        <v/>
      </c>
      <c r="G5" s="5">
        <f>F5*(1+'Параметры'!$B$40)</f>
        <v/>
      </c>
      <c r="H5" s="5">
        <f>G5*(1+'Параметры'!$B$40)</f>
        <v/>
      </c>
      <c r="I5" s="5">
        <f>H5*(1+'Параметры'!$B$40)</f>
        <v/>
      </c>
      <c r="J5" s="5">
        <f>I5*(1+'Параметры'!$B$40)</f>
        <v/>
      </c>
      <c r="K5" s="5">
        <f>J5*(1+'Параметры'!$B$40)</f>
        <v/>
      </c>
      <c r="L5" s="5">
        <f>K5*(1+'Параметры'!$B$40)</f>
        <v/>
      </c>
      <c r="M5" s="5">
        <f>L5*(1+'Параметры'!$B$40)</f>
        <v/>
      </c>
      <c r="N5" s="5">
        <f>M5*(1+'Параметры'!$B$40)</f>
        <v/>
      </c>
      <c r="O5" s="5">
        <f>N5*(1+'Параметры'!$B$40)</f>
        <v/>
      </c>
      <c r="P5" s="5">
        <f>O5*(1+'Параметры'!$B$40)</f>
        <v/>
      </c>
      <c r="Q5" s="5">
        <f>P5*(1+'Параметры'!$B$40)</f>
        <v/>
      </c>
      <c r="R5" s="5">
        <f>Q5*(1+'Параметры'!$B$40)</f>
        <v/>
      </c>
      <c r="S5" s="5">
        <f>R5*(1+'Параметры'!$B$40)</f>
        <v/>
      </c>
      <c r="T5" s="5">
        <f>S5*(1+'Параметры'!$B$40)</f>
        <v/>
      </c>
      <c r="U5" s="5">
        <f>T5*(1+'Параметры'!$B$40)</f>
        <v/>
      </c>
      <c r="V5" s="5">
        <f>U5*(1+'Параметры'!$B$40)</f>
        <v/>
      </c>
      <c r="W5" s="5">
        <f>V5*(1+'Параметры'!$B$40)</f>
        <v/>
      </c>
      <c r="X5" s="5">
        <f>W5*(1+'Параметры'!$B$40)</f>
        <v/>
      </c>
      <c r="Y5" s="5">
        <f>X5*(1+'Параметры'!$B$40)</f>
        <v/>
      </c>
    </row>
    <row r="6">
      <c r="A6" s="4" t="inlineStr">
        <is>
          <t>Посетители из рекламы</t>
        </is>
      </c>
      <c r="B6" s="5">
        <f>IF('Параметры'!$B$42&gt;0,'Параметры'!$B$41/'Параметры'!$B$42,0)</f>
        <v/>
      </c>
      <c r="C6" s="5">
        <f>IF('Параметры'!$B$42&gt;0,'Параметры'!$B$41/'Параметры'!$B$42,0)</f>
        <v/>
      </c>
      <c r="D6" s="5">
        <f>IF('Параметры'!$B$42&gt;0,'Параметры'!$B$41/'Параметры'!$B$42,0)</f>
        <v/>
      </c>
      <c r="E6" s="5">
        <f>IF('Параметры'!$B$42&gt;0,'Параметры'!$B$41/'Параметры'!$B$42,0)</f>
        <v/>
      </c>
      <c r="F6" s="5">
        <f>IF('Параметры'!$B$42&gt;0,'Параметры'!$B$41/'Параметры'!$B$42,0)</f>
        <v/>
      </c>
      <c r="G6" s="5">
        <f>IF('Параметры'!$B$42&gt;0,'Параметры'!$B$41/'Параметры'!$B$42,0)</f>
        <v/>
      </c>
      <c r="H6" s="5">
        <f>IF('Параметры'!$B$42&gt;0,'Параметры'!$B$41/'Параметры'!$B$42,0)</f>
        <v/>
      </c>
      <c r="I6" s="5">
        <f>IF('Параметры'!$B$42&gt;0,'Параметры'!$B$41/'Параметры'!$B$42,0)</f>
        <v/>
      </c>
      <c r="J6" s="5">
        <f>IF('Параметры'!$B$42&gt;0,'Параметры'!$B$41/'Параметры'!$B$42,0)</f>
        <v/>
      </c>
      <c r="K6" s="5">
        <f>IF('Параметры'!$B$42&gt;0,'Параметры'!$B$41/'Параметры'!$B$42,0)</f>
        <v/>
      </c>
      <c r="L6" s="5">
        <f>IF('Параметры'!$B$42&gt;0,'Параметры'!$B$41/'Параметры'!$B$42,0)</f>
        <v/>
      </c>
      <c r="M6" s="5">
        <f>IF('Параметры'!$B$42&gt;0,'Параметры'!$B$41/'Параметры'!$B$42,0)</f>
        <v/>
      </c>
      <c r="N6" s="5">
        <f>IF('Параметры'!$B$42&gt;0,'Параметры'!$B$41/'Параметры'!$B$42,0)</f>
        <v/>
      </c>
      <c r="O6" s="5">
        <f>IF('Параметры'!$B$42&gt;0,'Параметры'!$B$41/'Параметры'!$B$42,0)</f>
        <v/>
      </c>
      <c r="P6" s="5">
        <f>IF('Параметры'!$B$42&gt;0,'Параметры'!$B$41/'Параметры'!$B$42,0)</f>
        <v/>
      </c>
      <c r="Q6" s="5">
        <f>IF('Параметры'!$B$42&gt;0,'Параметры'!$B$41/'Параметры'!$B$42,0)</f>
        <v/>
      </c>
      <c r="R6" s="5">
        <f>IF('Параметры'!$B$42&gt;0,'Параметры'!$B$41/'Параметры'!$B$42,0)</f>
        <v/>
      </c>
      <c r="S6" s="5">
        <f>IF('Параметры'!$B$42&gt;0,'Параметры'!$B$41/'Параметры'!$B$42,0)</f>
        <v/>
      </c>
      <c r="T6" s="5">
        <f>IF('Параметры'!$B$42&gt;0,'Параметры'!$B$41/'Параметры'!$B$42,0)</f>
        <v/>
      </c>
      <c r="U6" s="5">
        <f>IF('Параметры'!$B$42&gt;0,'Параметры'!$B$41/'Параметры'!$B$42,0)</f>
        <v/>
      </c>
      <c r="V6" s="5">
        <f>IF('Параметры'!$B$42&gt;0,'Параметры'!$B$41/'Параметры'!$B$42,0)</f>
        <v/>
      </c>
      <c r="W6" s="5">
        <f>IF('Параметры'!$B$42&gt;0,'Параметры'!$B$41/'Параметры'!$B$42,0)</f>
        <v/>
      </c>
      <c r="X6" s="5">
        <f>IF('Параметры'!$B$42&gt;0,'Параметры'!$B$41/'Параметры'!$B$42,0)</f>
        <v/>
      </c>
      <c r="Y6" s="5">
        <f>IF('Параметры'!$B$42&gt;0,'Параметры'!$B$41/'Параметры'!$B$42,0)</f>
        <v/>
      </c>
    </row>
    <row r="7">
      <c r="A7" s="4" t="inlineStr">
        <is>
          <t>Посетители всего</t>
        </is>
      </c>
      <c r="B7" s="16">
        <f>B5+B6</f>
        <v/>
      </c>
      <c r="C7" s="16">
        <f>C5+C6</f>
        <v/>
      </c>
      <c r="D7" s="16">
        <f>D5+D6</f>
        <v/>
      </c>
      <c r="E7" s="16">
        <f>E5+E6</f>
        <v/>
      </c>
      <c r="F7" s="16">
        <f>F5+F6</f>
        <v/>
      </c>
      <c r="G7" s="16">
        <f>G5+G6</f>
        <v/>
      </c>
      <c r="H7" s="16">
        <f>H5+H6</f>
        <v/>
      </c>
      <c r="I7" s="16">
        <f>I5+I6</f>
        <v/>
      </c>
      <c r="J7" s="16">
        <f>J5+J6</f>
        <v/>
      </c>
      <c r="K7" s="16">
        <f>K5+K6</f>
        <v/>
      </c>
      <c r="L7" s="16">
        <f>L5+L6</f>
        <v/>
      </c>
      <c r="M7" s="16">
        <f>M5+M6</f>
        <v/>
      </c>
      <c r="N7" s="16">
        <f>N5+N6</f>
        <v/>
      </c>
      <c r="O7" s="16">
        <f>O5+O6</f>
        <v/>
      </c>
      <c r="P7" s="16">
        <f>P5+P6</f>
        <v/>
      </c>
      <c r="Q7" s="16">
        <f>Q5+Q6</f>
        <v/>
      </c>
      <c r="R7" s="16">
        <f>R5+R6</f>
        <v/>
      </c>
      <c r="S7" s="16">
        <f>S5+S6</f>
        <v/>
      </c>
      <c r="T7" s="16">
        <f>T5+T6</f>
        <v/>
      </c>
      <c r="U7" s="16">
        <f>U5+U6</f>
        <v/>
      </c>
      <c r="V7" s="16">
        <f>V5+V6</f>
        <v/>
      </c>
      <c r="W7" s="16">
        <f>W5+W6</f>
        <v/>
      </c>
      <c r="X7" s="16">
        <f>X5+X6</f>
        <v/>
      </c>
      <c r="Y7" s="16">
        <f>Y5+Y6</f>
        <v/>
      </c>
    </row>
    <row r="8">
      <c r="A8" s="4" t="inlineStr">
        <is>
          <t>Бесплатные проверки (регистрации)</t>
        </is>
      </c>
      <c r="B8" s="5">
        <f>B7*'Параметры'!$B$44</f>
        <v/>
      </c>
      <c r="C8" s="5">
        <f>C7*'Параметры'!$B$44</f>
        <v/>
      </c>
      <c r="D8" s="5">
        <f>D7*'Параметры'!$B$44</f>
        <v/>
      </c>
      <c r="E8" s="5">
        <f>E7*'Параметры'!$B$44</f>
        <v/>
      </c>
      <c r="F8" s="5">
        <f>F7*'Параметры'!$B$44</f>
        <v/>
      </c>
      <c r="G8" s="5">
        <f>G7*'Параметры'!$B$44</f>
        <v/>
      </c>
      <c r="H8" s="5">
        <f>H7*'Параметры'!$B$44</f>
        <v/>
      </c>
      <c r="I8" s="5">
        <f>I7*'Параметры'!$B$44</f>
        <v/>
      </c>
      <c r="J8" s="5">
        <f>J7*'Параметры'!$B$44</f>
        <v/>
      </c>
      <c r="K8" s="5">
        <f>K7*'Параметры'!$B$44</f>
        <v/>
      </c>
      <c r="L8" s="5">
        <f>L7*'Параметры'!$B$44</f>
        <v/>
      </c>
      <c r="M8" s="5">
        <f>M7*'Параметры'!$B$44</f>
        <v/>
      </c>
      <c r="N8" s="5">
        <f>N7*'Параметры'!$B$44</f>
        <v/>
      </c>
      <c r="O8" s="5">
        <f>O7*'Параметры'!$B$44</f>
        <v/>
      </c>
      <c r="P8" s="5">
        <f>P7*'Параметры'!$B$44</f>
        <v/>
      </c>
      <c r="Q8" s="5">
        <f>Q7*'Параметры'!$B$44</f>
        <v/>
      </c>
      <c r="R8" s="5">
        <f>R7*'Параметры'!$B$44</f>
        <v/>
      </c>
      <c r="S8" s="5">
        <f>S7*'Параметры'!$B$44</f>
        <v/>
      </c>
      <c r="T8" s="5">
        <f>T7*'Параметры'!$B$44</f>
        <v/>
      </c>
      <c r="U8" s="5">
        <f>U7*'Параметры'!$B$44</f>
        <v/>
      </c>
      <c r="V8" s="5">
        <f>V7*'Параметры'!$B$44</f>
        <v/>
      </c>
      <c r="W8" s="5">
        <f>W7*'Параметры'!$B$44</f>
        <v/>
      </c>
      <c r="X8" s="5">
        <f>X7*'Параметры'!$B$44</f>
        <v/>
      </c>
      <c r="Y8" s="5">
        <f>Y7*'Параметры'!$B$44</f>
        <v/>
      </c>
    </row>
    <row r="9">
      <c r="A9" s="4" t="inlineStr">
        <is>
          <t>Новые подписчики</t>
        </is>
      </c>
      <c r="B9" s="5">
        <f>B8*'Параметры'!$B$45</f>
        <v/>
      </c>
      <c r="C9" s="5">
        <f>C8*'Параметры'!$B$45</f>
        <v/>
      </c>
      <c r="D9" s="5">
        <f>D8*'Параметры'!$B$45</f>
        <v/>
      </c>
      <c r="E9" s="5">
        <f>E8*'Параметры'!$B$45</f>
        <v/>
      </c>
      <c r="F9" s="5">
        <f>F8*'Параметры'!$B$45</f>
        <v/>
      </c>
      <c r="G9" s="5">
        <f>G8*'Параметры'!$B$45</f>
        <v/>
      </c>
      <c r="H9" s="5">
        <f>H8*'Параметры'!$B$45</f>
        <v/>
      </c>
      <c r="I9" s="5">
        <f>I8*'Параметры'!$B$45</f>
        <v/>
      </c>
      <c r="J9" s="5">
        <f>J8*'Параметры'!$B$45</f>
        <v/>
      </c>
      <c r="K9" s="5">
        <f>K8*'Параметры'!$B$45</f>
        <v/>
      </c>
      <c r="L9" s="5">
        <f>L8*'Параметры'!$B$45</f>
        <v/>
      </c>
      <c r="M9" s="5">
        <f>M8*'Параметры'!$B$45</f>
        <v/>
      </c>
      <c r="N9" s="5">
        <f>N8*'Параметры'!$B$45</f>
        <v/>
      </c>
      <c r="O9" s="5">
        <f>O8*'Параметры'!$B$45</f>
        <v/>
      </c>
      <c r="P9" s="5">
        <f>P8*'Параметры'!$B$45</f>
        <v/>
      </c>
      <c r="Q9" s="5">
        <f>Q8*'Параметры'!$B$45</f>
        <v/>
      </c>
      <c r="R9" s="5">
        <f>R8*'Параметры'!$B$45</f>
        <v/>
      </c>
      <c r="S9" s="5">
        <f>S8*'Параметры'!$B$45</f>
        <v/>
      </c>
      <c r="T9" s="5">
        <f>T8*'Параметры'!$B$45</f>
        <v/>
      </c>
      <c r="U9" s="5">
        <f>U8*'Параметры'!$B$45</f>
        <v/>
      </c>
      <c r="V9" s="5">
        <f>V8*'Параметры'!$B$45</f>
        <v/>
      </c>
      <c r="W9" s="5">
        <f>W8*'Параметры'!$B$45</f>
        <v/>
      </c>
      <c r="X9" s="5">
        <f>X8*'Параметры'!$B$45</f>
        <v/>
      </c>
      <c r="Y9" s="5">
        <f>Y8*'Параметры'!$B$45</f>
        <v/>
      </c>
    </row>
    <row r="10">
      <c r="A10" s="4" t="inlineStr">
        <is>
          <t>Разовые аудиты</t>
        </is>
      </c>
      <c r="B10" s="5">
        <f>B8*'Параметры'!$B$46</f>
        <v/>
      </c>
      <c r="C10" s="5">
        <f>C8*'Параметры'!$B$46</f>
        <v/>
      </c>
      <c r="D10" s="5">
        <f>D8*'Параметры'!$B$46</f>
        <v/>
      </c>
      <c r="E10" s="5">
        <f>E8*'Параметры'!$B$46</f>
        <v/>
      </c>
      <c r="F10" s="5">
        <f>F8*'Параметры'!$B$46</f>
        <v/>
      </c>
      <c r="G10" s="5">
        <f>G8*'Параметры'!$B$46</f>
        <v/>
      </c>
      <c r="H10" s="5">
        <f>H8*'Параметры'!$B$46</f>
        <v/>
      </c>
      <c r="I10" s="5">
        <f>I8*'Параметры'!$B$46</f>
        <v/>
      </c>
      <c r="J10" s="5">
        <f>J8*'Параметры'!$B$46</f>
        <v/>
      </c>
      <c r="K10" s="5">
        <f>K8*'Параметры'!$B$46</f>
        <v/>
      </c>
      <c r="L10" s="5">
        <f>L8*'Параметры'!$B$46</f>
        <v/>
      </c>
      <c r="M10" s="5">
        <f>M8*'Параметры'!$B$46</f>
        <v/>
      </c>
      <c r="N10" s="5">
        <f>N8*'Параметры'!$B$46</f>
        <v/>
      </c>
      <c r="O10" s="5">
        <f>O8*'Параметры'!$B$46</f>
        <v/>
      </c>
      <c r="P10" s="5">
        <f>P8*'Параметры'!$B$46</f>
        <v/>
      </c>
      <c r="Q10" s="5">
        <f>Q8*'Параметры'!$B$46</f>
        <v/>
      </c>
      <c r="R10" s="5">
        <f>R8*'Параметры'!$B$46</f>
        <v/>
      </c>
      <c r="S10" s="5">
        <f>S8*'Параметры'!$B$46</f>
        <v/>
      </c>
      <c r="T10" s="5">
        <f>T8*'Параметры'!$B$46</f>
        <v/>
      </c>
      <c r="U10" s="5">
        <f>U8*'Параметры'!$B$46</f>
        <v/>
      </c>
      <c r="V10" s="5">
        <f>V8*'Параметры'!$B$46</f>
        <v/>
      </c>
      <c r="W10" s="5">
        <f>W8*'Параметры'!$B$46</f>
        <v/>
      </c>
      <c r="X10" s="5">
        <f>X8*'Параметры'!$B$46</f>
        <v/>
      </c>
      <c r="Y10" s="5">
        <f>Y8*'Параметры'!$B$46</f>
        <v/>
      </c>
    </row>
    <row r="11">
      <c r="A11" s="9" t="inlineStr">
        <is>
          <t>Подписчики</t>
        </is>
      </c>
    </row>
    <row r="12">
      <c r="A12" s="4" t="inlineStr">
        <is>
          <t>Ушло подписчиков</t>
        </is>
      </c>
      <c r="B12" s="16">
        <f>0</f>
        <v/>
      </c>
      <c r="C12" s="5">
        <f>B13*'Параметры'!$B$47</f>
        <v/>
      </c>
      <c r="D12" s="5">
        <f>C13*'Параметры'!$B$47</f>
        <v/>
      </c>
      <c r="E12" s="5">
        <f>D13*'Параметры'!$B$47</f>
        <v/>
      </c>
      <c r="F12" s="5">
        <f>E13*'Параметры'!$B$47</f>
        <v/>
      </c>
      <c r="G12" s="5">
        <f>F13*'Параметры'!$B$47</f>
        <v/>
      </c>
      <c r="H12" s="5">
        <f>G13*'Параметры'!$B$47</f>
        <v/>
      </c>
      <c r="I12" s="5">
        <f>H13*'Параметры'!$B$47</f>
        <v/>
      </c>
      <c r="J12" s="5">
        <f>I13*'Параметры'!$B$47</f>
        <v/>
      </c>
      <c r="K12" s="5">
        <f>J13*'Параметры'!$B$47</f>
        <v/>
      </c>
      <c r="L12" s="5">
        <f>K13*'Параметры'!$B$47</f>
        <v/>
      </c>
      <c r="M12" s="5">
        <f>L13*'Параметры'!$B$47</f>
        <v/>
      </c>
      <c r="N12" s="5">
        <f>M13*'Параметры'!$B$47</f>
        <v/>
      </c>
      <c r="O12" s="5">
        <f>N13*'Параметры'!$B$47</f>
        <v/>
      </c>
      <c r="P12" s="5">
        <f>O13*'Параметры'!$B$47</f>
        <v/>
      </c>
      <c r="Q12" s="5">
        <f>P13*'Параметры'!$B$47</f>
        <v/>
      </c>
      <c r="R12" s="5">
        <f>Q13*'Параметры'!$B$47</f>
        <v/>
      </c>
      <c r="S12" s="5">
        <f>R13*'Параметры'!$B$47</f>
        <v/>
      </c>
      <c r="T12" s="5">
        <f>S13*'Параметры'!$B$47</f>
        <v/>
      </c>
      <c r="U12" s="5">
        <f>T13*'Параметры'!$B$47</f>
        <v/>
      </c>
      <c r="V12" s="5">
        <f>U13*'Параметры'!$B$47</f>
        <v/>
      </c>
      <c r="W12" s="5">
        <f>V13*'Параметры'!$B$47</f>
        <v/>
      </c>
      <c r="X12" s="5">
        <f>W13*'Параметры'!$B$47</f>
        <v/>
      </c>
      <c r="Y12" s="5">
        <f>X13*'Параметры'!$B$47</f>
        <v/>
      </c>
    </row>
    <row r="13">
      <c r="A13" s="9" t="inlineStr">
        <is>
          <t>Активные подписчики</t>
        </is>
      </c>
      <c r="B13" s="16">
        <f>B9</f>
        <v/>
      </c>
      <c r="C13" s="16">
        <f>B13+C9-C12</f>
        <v/>
      </c>
      <c r="D13" s="16">
        <f>C13+D9-D12</f>
        <v/>
      </c>
      <c r="E13" s="16">
        <f>D13+E9-E12</f>
        <v/>
      </c>
      <c r="F13" s="16">
        <f>E13+F9-F12</f>
        <v/>
      </c>
      <c r="G13" s="16">
        <f>F13+G9-G12</f>
        <v/>
      </c>
      <c r="H13" s="16">
        <f>G13+H9-H12</f>
        <v/>
      </c>
      <c r="I13" s="16">
        <f>H13+I9-I12</f>
        <v/>
      </c>
      <c r="J13" s="16">
        <f>I13+J9-J12</f>
        <v/>
      </c>
      <c r="K13" s="16">
        <f>J13+K9-K12</f>
        <v/>
      </c>
      <c r="L13" s="16">
        <f>K13+L9-L12</f>
        <v/>
      </c>
      <c r="M13" s="16">
        <f>L13+M9-M12</f>
        <v/>
      </c>
      <c r="N13" s="16">
        <f>M13+N9-N12</f>
        <v/>
      </c>
      <c r="O13" s="16">
        <f>N13+O9-O12</f>
        <v/>
      </c>
      <c r="P13" s="16">
        <f>O13+P9-P12</f>
        <v/>
      </c>
      <c r="Q13" s="16">
        <f>P13+Q9-Q12</f>
        <v/>
      </c>
      <c r="R13" s="16">
        <f>Q13+R9-R12</f>
        <v/>
      </c>
      <c r="S13" s="16">
        <f>R13+S9-S12</f>
        <v/>
      </c>
      <c r="T13" s="16">
        <f>S13+T9-T12</f>
        <v/>
      </c>
      <c r="U13" s="16">
        <f>T13+U9-U12</f>
        <v/>
      </c>
      <c r="V13" s="16">
        <f>U13+V9-V12</f>
        <v/>
      </c>
      <c r="W13" s="16">
        <f>V13+W9-W12</f>
        <v/>
      </c>
      <c r="X13" s="16">
        <f>W13+X9-X12</f>
        <v/>
      </c>
      <c r="Y13" s="16">
        <f>X13+Y9-Y12</f>
        <v/>
      </c>
    </row>
    <row r="14">
      <c r="A14" s="4" t="inlineStr">
        <is>
          <t xml:space="preserve">  из них Старт</t>
        </is>
      </c>
      <c r="B14" s="5">
        <f>B13*'Параметры'!$B$49</f>
        <v/>
      </c>
      <c r="C14" s="5">
        <f>C13*'Параметры'!$B$49</f>
        <v/>
      </c>
      <c r="D14" s="5">
        <f>D13*'Параметры'!$B$49</f>
        <v/>
      </c>
      <c r="E14" s="5">
        <f>E13*'Параметры'!$B$49</f>
        <v/>
      </c>
      <c r="F14" s="5">
        <f>F13*'Параметры'!$B$49</f>
        <v/>
      </c>
      <c r="G14" s="5">
        <f>G13*'Параметры'!$B$49</f>
        <v/>
      </c>
      <c r="H14" s="5">
        <f>H13*'Параметры'!$B$49</f>
        <v/>
      </c>
      <c r="I14" s="5">
        <f>I13*'Параметры'!$B$49</f>
        <v/>
      </c>
      <c r="J14" s="5">
        <f>J13*'Параметры'!$B$49</f>
        <v/>
      </c>
      <c r="K14" s="5">
        <f>K13*'Параметры'!$B$49</f>
        <v/>
      </c>
      <c r="L14" s="5">
        <f>L13*'Параметры'!$B$49</f>
        <v/>
      </c>
      <c r="M14" s="5">
        <f>M13*'Параметры'!$B$49</f>
        <v/>
      </c>
      <c r="N14" s="5">
        <f>N13*'Параметры'!$B$49</f>
        <v/>
      </c>
      <c r="O14" s="5">
        <f>O13*'Параметры'!$B$49</f>
        <v/>
      </c>
      <c r="P14" s="5">
        <f>P13*'Параметры'!$B$49</f>
        <v/>
      </c>
      <c r="Q14" s="5">
        <f>Q13*'Параметры'!$B$49</f>
        <v/>
      </c>
      <c r="R14" s="5">
        <f>R13*'Параметры'!$B$49</f>
        <v/>
      </c>
      <c r="S14" s="5">
        <f>S13*'Параметры'!$B$49</f>
        <v/>
      </c>
      <c r="T14" s="5">
        <f>T13*'Параметры'!$B$49</f>
        <v/>
      </c>
      <c r="U14" s="5">
        <f>U13*'Параметры'!$B$49</f>
        <v/>
      </c>
      <c r="V14" s="5">
        <f>V13*'Параметры'!$B$49</f>
        <v/>
      </c>
      <c r="W14" s="5">
        <f>W13*'Параметры'!$B$49</f>
        <v/>
      </c>
      <c r="X14" s="5">
        <f>X13*'Параметры'!$B$49</f>
        <v/>
      </c>
      <c r="Y14" s="5">
        <f>Y13*'Параметры'!$B$49</f>
        <v/>
      </c>
    </row>
    <row r="15">
      <c r="A15" s="4" t="inlineStr">
        <is>
          <t xml:space="preserve">  из них Про</t>
        </is>
      </c>
      <c r="B15" s="5">
        <f>B13*'Параметры'!$B$50</f>
        <v/>
      </c>
      <c r="C15" s="5">
        <f>C13*'Параметры'!$B$50</f>
        <v/>
      </c>
      <c r="D15" s="5">
        <f>D13*'Параметры'!$B$50</f>
        <v/>
      </c>
      <c r="E15" s="5">
        <f>E13*'Параметры'!$B$50</f>
        <v/>
      </c>
      <c r="F15" s="5">
        <f>F13*'Параметры'!$B$50</f>
        <v/>
      </c>
      <c r="G15" s="5">
        <f>G13*'Параметры'!$B$50</f>
        <v/>
      </c>
      <c r="H15" s="5">
        <f>H13*'Параметры'!$B$50</f>
        <v/>
      </c>
      <c r="I15" s="5">
        <f>I13*'Параметры'!$B$50</f>
        <v/>
      </c>
      <c r="J15" s="5">
        <f>J13*'Параметры'!$B$50</f>
        <v/>
      </c>
      <c r="K15" s="5">
        <f>K13*'Параметры'!$B$50</f>
        <v/>
      </c>
      <c r="L15" s="5">
        <f>L13*'Параметры'!$B$50</f>
        <v/>
      </c>
      <c r="M15" s="5">
        <f>M13*'Параметры'!$B$50</f>
        <v/>
      </c>
      <c r="N15" s="5">
        <f>N13*'Параметры'!$B$50</f>
        <v/>
      </c>
      <c r="O15" s="5">
        <f>O13*'Параметры'!$B$50</f>
        <v/>
      </c>
      <c r="P15" s="5">
        <f>P13*'Параметры'!$B$50</f>
        <v/>
      </c>
      <c r="Q15" s="5">
        <f>Q13*'Параметры'!$B$50</f>
        <v/>
      </c>
      <c r="R15" s="5">
        <f>R13*'Параметры'!$B$50</f>
        <v/>
      </c>
      <c r="S15" s="5">
        <f>S13*'Параметры'!$B$50</f>
        <v/>
      </c>
      <c r="T15" s="5">
        <f>T13*'Параметры'!$B$50</f>
        <v/>
      </c>
      <c r="U15" s="5">
        <f>U13*'Параметры'!$B$50</f>
        <v/>
      </c>
      <c r="V15" s="5">
        <f>V13*'Параметры'!$B$50</f>
        <v/>
      </c>
      <c r="W15" s="5">
        <f>W13*'Параметры'!$B$50</f>
        <v/>
      </c>
      <c r="X15" s="5">
        <f>X13*'Параметры'!$B$50</f>
        <v/>
      </c>
      <c r="Y15" s="5">
        <f>Y13*'Параметры'!$B$50</f>
        <v/>
      </c>
    </row>
    <row r="16">
      <c r="A16" s="4" t="inlineStr">
        <is>
          <t xml:space="preserve">  из них Ультра</t>
        </is>
      </c>
      <c r="B16" s="5">
        <f>B13*'Параметры'!$B$51</f>
        <v/>
      </c>
      <c r="C16" s="5">
        <f>C13*'Параметры'!$B$51</f>
        <v/>
      </c>
      <c r="D16" s="5">
        <f>D13*'Параметры'!$B$51</f>
        <v/>
      </c>
      <c r="E16" s="5">
        <f>E13*'Параметры'!$B$51</f>
        <v/>
      </c>
      <c r="F16" s="5">
        <f>F13*'Параметры'!$B$51</f>
        <v/>
      </c>
      <c r="G16" s="5">
        <f>G13*'Параметры'!$B$51</f>
        <v/>
      </c>
      <c r="H16" s="5">
        <f>H13*'Параметры'!$B$51</f>
        <v/>
      </c>
      <c r="I16" s="5">
        <f>I13*'Параметры'!$B$51</f>
        <v/>
      </c>
      <c r="J16" s="5">
        <f>J13*'Параметры'!$B$51</f>
        <v/>
      </c>
      <c r="K16" s="5">
        <f>K13*'Параметры'!$B$51</f>
        <v/>
      </c>
      <c r="L16" s="5">
        <f>L13*'Параметры'!$B$51</f>
        <v/>
      </c>
      <c r="M16" s="5">
        <f>M13*'Параметры'!$B$51</f>
        <v/>
      </c>
      <c r="N16" s="5">
        <f>N13*'Параметры'!$B$51</f>
        <v/>
      </c>
      <c r="O16" s="5">
        <f>O13*'Параметры'!$B$51</f>
        <v/>
      </c>
      <c r="P16" s="5">
        <f>P13*'Параметры'!$B$51</f>
        <v/>
      </c>
      <c r="Q16" s="5">
        <f>Q13*'Параметры'!$B$51</f>
        <v/>
      </c>
      <c r="R16" s="5">
        <f>R13*'Параметры'!$B$51</f>
        <v/>
      </c>
      <c r="S16" s="5">
        <f>S13*'Параметры'!$B$51</f>
        <v/>
      </c>
      <c r="T16" s="5">
        <f>T13*'Параметры'!$B$51</f>
        <v/>
      </c>
      <c r="U16" s="5">
        <f>U13*'Параметры'!$B$51</f>
        <v/>
      </c>
      <c r="V16" s="5">
        <f>V13*'Параметры'!$B$51</f>
        <v/>
      </c>
      <c r="W16" s="5">
        <f>W13*'Параметры'!$B$51</f>
        <v/>
      </c>
      <c r="X16" s="5">
        <f>X13*'Параметры'!$B$51</f>
        <v/>
      </c>
      <c r="Y16" s="5">
        <f>Y13*'Параметры'!$B$51</f>
        <v/>
      </c>
    </row>
    <row r="17">
      <c r="A17" s="9" t="inlineStr">
        <is>
          <t>Выручка</t>
        </is>
      </c>
    </row>
    <row r="18">
      <c r="A18" s="4" t="inlineStr">
        <is>
          <t>Подписки</t>
        </is>
      </c>
      <c r="B18" s="6">
        <f>B14*'Параметры'!$B$6+B15*'Параметры'!$B$7+B16*'Параметры'!$B$8</f>
        <v/>
      </c>
      <c r="C18" s="6">
        <f>C14*'Параметры'!$B$6+C15*'Параметры'!$B$7+C16*'Параметры'!$B$8</f>
        <v/>
      </c>
      <c r="D18" s="6">
        <f>D14*'Параметры'!$B$6+D15*'Параметры'!$B$7+D16*'Параметры'!$B$8</f>
        <v/>
      </c>
      <c r="E18" s="6">
        <f>E14*'Параметры'!$B$6+E15*'Параметры'!$B$7+E16*'Параметры'!$B$8</f>
        <v/>
      </c>
      <c r="F18" s="6">
        <f>F14*'Параметры'!$B$6+F15*'Параметры'!$B$7+F16*'Параметры'!$B$8</f>
        <v/>
      </c>
      <c r="G18" s="6">
        <f>G14*'Параметры'!$B$6+G15*'Параметры'!$B$7+G16*'Параметры'!$B$8</f>
        <v/>
      </c>
      <c r="H18" s="6">
        <f>H14*'Параметры'!$B$6+H15*'Параметры'!$B$7+H16*'Параметры'!$B$8</f>
        <v/>
      </c>
      <c r="I18" s="6">
        <f>I14*'Параметры'!$B$6+I15*'Параметры'!$B$7+I16*'Параметры'!$B$8</f>
        <v/>
      </c>
      <c r="J18" s="6">
        <f>J14*'Параметры'!$B$6+J15*'Параметры'!$B$7+J16*'Параметры'!$B$8</f>
        <v/>
      </c>
      <c r="K18" s="6">
        <f>K14*'Параметры'!$B$6+K15*'Параметры'!$B$7+K16*'Параметры'!$B$8</f>
        <v/>
      </c>
      <c r="L18" s="6">
        <f>L14*'Параметры'!$B$6+L15*'Параметры'!$B$7+L16*'Параметры'!$B$8</f>
        <v/>
      </c>
      <c r="M18" s="6">
        <f>M14*'Параметры'!$B$6+M15*'Параметры'!$B$7+M16*'Параметры'!$B$8</f>
        <v/>
      </c>
      <c r="N18" s="6">
        <f>N14*'Параметры'!$B$6+N15*'Параметры'!$B$7+N16*'Параметры'!$B$8</f>
        <v/>
      </c>
      <c r="O18" s="6">
        <f>O14*'Параметры'!$B$6+O15*'Параметры'!$B$7+O16*'Параметры'!$B$8</f>
        <v/>
      </c>
      <c r="P18" s="6">
        <f>P14*'Параметры'!$B$6+P15*'Параметры'!$B$7+P16*'Параметры'!$B$8</f>
        <v/>
      </c>
      <c r="Q18" s="6">
        <f>Q14*'Параметры'!$B$6+Q15*'Параметры'!$B$7+Q16*'Параметры'!$B$8</f>
        <v/>
      </c>
      <c r="R18" s="6">
        <f>R14*'Параметры'!$B$6+R15*'Параметры'!$B$7+R16*'Параметры'!$B$8</f>
        <v/>
      </c>
      <c r="S18" s="6">
        <f>S14*'Параметры'!$B$6+S15*'Параметры'!$B$7+S16*'Параметры'!$B$8</f>
        <v/>
      </c>
      <c r="T18" s="6">
        <f>T14*'Параметры'!$B$6+T15*'Параметры'!$B$7+T16*'Параметры'!$B$8</f>
        <v/>
      </c>
      <c r="U18" s="6">
        <f>U14*'Параметры'!$B$6+U15*'Параметры'!$B$7+U16*'Параметры'!$B$8</f>
        <v/>
      </c>
      <c r="V18" s="6">
        <f>V14*'Параметры'!$B$6+V15*'Параметры'!$B$7+V16*'Параметры'!$B$8</f>
        <v/>
      </c>
      <c r="W18" s="6">
        <f>W14*'Параметры'!$B$6+W15*'Параметры'!$B$7+W16*'Параметры'!$B$8</f>
        <v/>
      </c>
      <c r="X18" s="6">
        <f>X14*'Параметры'!$B$6+X15*'Параметры'!$B$7+X16*'Параметры'!$B$8</f>
        <v/>
      </c>
      <c r="Y18" s="6">
        <f>Y14*'Параметры'!$B$6+Y15*'Параметры'!$B$7+Y16*'Параметры'!$B$8</f>
        <v/>
      </c>
    </row>
    <row r="19">
      <c r="A19" s="4" t="inlineStr">
        <is>
          <t>Разовые аудиты</t>
        </is>
      </c>
      <c r="B19" s="6">
        <f>B10*'Параметры'!$B$9</f>
        <v/>
      </c>
      <c r="C19" s="6">
        <f>C10*'Параметры'!$B$9</f>
        <v/>
      </c>
      <c r="D19" s="6">
        <f>D10*'Параметры'!$B$9</f>
        <v/>
      </c>
      <c r="E19" s="6">
        <f>E10*'Параметры'!$B$9</f>
        <v/>
      </c>
      <c r="F19" s="6">
        <f>F10*'Параметры'!$B$9</f>
        <v/>
      </c>
      <c r="G19" s="6">
        <f>G10*'Параметры'!$B$9</f>
        <v/>
      </c>
      <c r="H19" s="6">
        <f>H10*'Параметры'!$B$9</f>
        <v/>
      </c>
      <c r="I19" s="6">
        <f>I10*'Параметры'!$B$9</f>
        <v/>
      </c>
      <c r="J19" s="6">
        <f>J10*'Параметры'!$B$9</f>
        <v/>
      </c>
      <c r="K19" s="6">
        <f>K10*'Параметры'!$B$9</f>
        <v/>
      </c>
      <c r="L19" s="6">
        <f>L10*'Параметры'!$B$9</f>
        <v/>
      </c>
      <c r="M19" s="6">
        <f>M10*'Параметры'!$B$9</f>
        <v/>
      </c>
      <c r="N19" s="6">
        <f>N10*'Параметры'!$B$9</f>
        <v/>
      </c>
      <c r="O19" s="6">
        <f>O10*'Параметры'!$B$9</f>
        <v/>
      </c>
      <c r="P19" s="6">
        <f>P10*'Параметры'!$B$9</f>
        <v/>
      </c>
      <c r="Q19" s="6">
        <f>Q10*'Параметры'!$B$9</f>
        <v/>
      </c>
      <c r="R19" s="6">
        <f>R10*'Параметры'!$B$9</f>
        <v/>
      </c>
      <c r="S19" s="6">
        <f>S10*'Параметры'!$B$9</f>
        <v/>
      </c>
      <c r="T19" s="6">
        <f>T10*'Параметры'!$B$9</f>
        <v/>
      </c>
      <c r="U19" s="6">
        <f>U10*'Параметры'!$B$9</f>
        <v/>
      </c>
      <c r="V19" s="6">
        <f>V10*'Параметры'!$B$9</f>
        <v/>
      </c>
      <c r="W19" s="6">
        <f>W10*'Параметры'!$B$9</f>
        <v/>
      </c>
      <c r="X19" s="6">
        <f>X10*'Параметры'!$B$9</f>
        <v/>
      </c>
      <c r="Y19" s="6">
        <f>Y10*'Параметры'!$B$9</f>
        <v/>
      </c>
    </row>
    <row r="20">
      <c r="A20" s="9" t="inlineStr">
        <is>
          <t>Выручка всего</t>
        </is>
      </c>
      <c r="B20" s="8">
        <f>B18+B19</f>
        <v/>
      </c>
      <c r="C20" s="8">
        <f>C18+C19</f>
        <v/>
      </c>
      <c r="D20" s="8">
        <f>D18+D19</f>
        <v/>
      </c>
      <c r="E20" s="8">
        <f>E18+E19</f>
        <v/>
      </c>
      <c r="F20" s="8">
        <f>F18+F19</f>
        <v/>
      </c>
      <c r="G20" s="8">
        <f>G18+G19</f>
        <v/>
      </c>
      <c r="H20" s="8">
        <f>H18+H19</f>
        <v/>
      </c>
      <c r="I20" s="8">
        <f>I18+I19</f>
        <v/>
      </c>
      <c r="J20" s="8">
        <f>J18+J19</f>
        <v/>
      </c>
      <c r="K20" s="8">
        <f>K18+K19</f>
        <v/>
      </c>
      <c r="L20" s="8">
        <f>L18+L19</f>
        <v/>
      </c>
      <c r="M20" s="8">
        <f>M18+M19</f>
        <v/>
      </c>
      <c r="N20" s="8">
        <f>N18+N19</f>
        <v/>
      </c>
      <c r="O20" s="8">
        <f>O18+O19</f>
        <v/>
      </c>
      <c r="P20" s="8">
        <f>P18+P19</f>
        <v/>
      </c>
      <c r="Q20" s="8">
        <f>Q18+Q19</f>
        <v/>
      </c>
      <c r="R20" s="8">
        <f>R18+R19</f>
        <v/>
      </c>
      <c r="S20" s="8">
        <f>S18+S19</f>
        <v/>
      </c>
      <c r="T20" s="8">
        <f>T18+T19</f>
        <v/>
      </c>
      <c r="U20" s="8">
        <f>U18+U19</f>
        <v/>
      </c>
      <c r="V20" s="8">
        <f>V18+V19</f>
        <v/>
      </c>
      <c r="W20" s="8">
        <f>W18+W19</f>
        <v/>
      </c>
      <c r="X20" s="8">
        <f>X18+X19</f>
        <v/>
      </c>
      <c r="Y20" s="8">
        <f>Y18+Y19</f>
        <v/>
      </c>
    </row>
    <row r="21">
      <c r="A21" s="9" t="inlineStr">
        <is>
          <t>Переменные расходы</t>
        </is>
      </c>
    </row>
    <row r="22">
      <c r="A22" s="4" t="inlineStr">
        <is>
          <t>API Яндекса: подписчики</t>
        </is>
      </c>
      <c r="B22" s="6">
        <f>(B14*'Параметры'!$B$11+B15*'Параметры'!$B$12+B16*'Параметры'!$B$13)*'Параметры'!$B$16</f>
        <v/>
      </c>
      <c r="C22" s="6">
        <f>(C14*'Параметры'!$B$11+C15*'Параметры'!$B$12+C16*'Параметры'!$B$13)*'Параметры'!$B$16</f>
        <v/>
      </c>
      <c r="D22" s="6">
        <f>(D14*'Параметры'!$B$11+D15*'Параметры'!$B$12+D16*'Параметры'!$B$13)*'Параметры'!$B$16</f>
        <v/>
      </c>
      <c r="E22" s="6">
        <f>(E14*'Параметры'!$B$11+E15*'Параметры'!$B$12+E16*'Параметры'!$B$13)*'Параметры'!$B$16</f>
        <v/>
      </c>
      <c r="F22" s="6">
        <f>(F14*'Параметры'!$B$11+F15*'Параметры'!$B$12+F16*'Параметры'!$B$13)*'Параметры'!$B$16</f>
        <v/>
      </c>
      <c r="G22" s="6">
        <f>(G14*'Параметры'!$B$11+G15*'Параметры'!$B$12+G16*'Параметры'!$B$13)*'Параметры'!$B$16</f>
        <v/>
      </c>
      <c r="H22" s="6">
        <f>(H14*'Параметры'!$B$11+H15*'Параметры'!$B$12+H16*'Параметры'!$B$13)*'Параметры'!$B$16</f>
        <v/>
      </c>
      <c r="I22" s="6">
        <f>(I14*'Параметры'!$B$11+I15*'Параметры'!$B$12+I16*'Параметры'!$B$13)*'Параметры'!$B$16</f>
        <v/>
      </c>
      <c r="J22" s="6">
        <f>(J14*'Параметры'!$B$11+J15*'Параметры'!$B$12+J16*'Параметры'!$B$13)*'Параметры'!$B$16</f>
        <v/>
      </c>
      <c r="K22" s="6">
        <f>(K14*'Параметры'!$B$11+K15*'Параметры'!$B$12+K16*'Параметры'!$B$13)*'Параметры'!$B$16</f>
        <v/>
      </c>
      <c r="L22" s="6">
        <f>(L14*'Параметры'!$B$11+L15*'Параметры'!$B$12+L16*'Параметры'!$B$13)*'Параметры'!$B$16</f>
        <v/>
      </c>
      <c r="M22" s="6">
        <f>(M14*'Параметры'!$B$11+M15*'Параметры'!$B$12+M16*'Параметры'!$B$13)*'Параметры'!$B$16</f>
        <v/>
      </c>
      <c r="N22" s="6">
        <f>(N14*'Параметры'!$B$11+N15*'Параметры'!$B$12+N16*'Параметры'!$B$13)*'Параметры'!$B$16</f>
        <v/>
      </c>
      <c r="O22" s="6">
        <f>(O14*'Параметры'!$B$11+O15*'Параметры'!$B$12+O16*'Параметры'!$B$13)*'Параметры'!$B$16</f>
        <v/>
      </c>
      <c r="P22" s="6">
        <f>(P14*'Параметры'!$B$11+P15*'Параметры'!$B$12+P16*'Параметры'!$B$13)*'Параметры'!$B$16</f>
        <v/>
      </c>
      <c r="Q22" s="6">
        <f>(Q14*'Параметры'!$B$11+Q15*'Параметры'!$B$12+Q16*'Параметры'!$B$13)*'Параметры'!$B$16</f>
        <v/>
      </c>
      <c r="R22" s="6">
        <f>(R14*'Параметры'!$B$11+R15*'Параметры'!$B$12+R16*'Параметры'!$B$13)*'Параметры'!$B$16</f>
        <v/>
      </c>
      <c r="S22" s="6">
        <f>(S14*'Параметры'!$B$11+S15*'Параметры'!$B$12+S16*'Параметры'!$B$13)*'Параметры'!$B$16</f>
        <v/>
      </c>
      <c r="T22" s="6">
        <f>(T14*'Параметры'!$B$11+T15*'Параметры'!$B$12+T16*'Параметры'!$B$13)*'Параметры'!$B$16</f>
        <v/>
      </c>
      <c r="U22" s="6">
        <f>(U14*'Параметры'!$B$11+U15*'Параметры'!$B$12+U16*'Параметры'!$B$13)*'Параметры'!$B$16</f>
        <v/>
      </c>
      <c r="V22" s="6">
        <f>(V14*'Параметры'!$B$11+V15*'Параметры'!$B$12+V16*'Параметры'!$B$13)*'Параметры'!$B$16</f>
        <v/>
      </c>
      <c r="W22" s="6">
        <f>(W14*'Параметры'!$B$11+W15*'Параметры'!$B$12+W16*'Параметры'!$B$13)*'Параметры'!$B$16</f>
        <v/>
      </c>
      <c r="X22" s="6">
        <f>(X14*'Параметры'!$B$11+X15*'Параметры'!$B$12+X16*'Параметры'!$B$13)*'Параметры'!$B$16</f>
        <v/>
      </c>
      <c r="Y22" s="6">
        <f>(Y14*'Параметры'!$B$11+Y15*'Параметры'!$B$12+Y16*'Параметры'!$B$13)*'Параметры'!$B$16</f>
        <v/>
      </c>
    </row>
    <row r="23">
      <c r="A23" s="4" t="inlineStr">
        <is>
          <t>API Яндекса: разовые аудиты</t>
        </is>
      </c>
      <c r="B23" s="6">
        <f>B10*'Параметры'!$B$14</f>
        <v/>
      </c>
      <c r="C23" s="6">
        <f>C10*'Параметры'!$B$14</f>
        <v/>
      </c>
      <c r="D23" s="6">
        <f>D10*'Параметры'!$B$14</f>
        <v/>
      </c>
      <c r="E23" s="6">
        <f>E10*'Параметры'!$B$14</f>
        <v/>
      </c>
      <c r="F23" s="6">
        <f>F10*'Параметры'!$B$14</f>
        <v/>
      </c>
      <c r="G23" s="6">
        <f>G10*'Параметры'!$B$14</f>
        <v/>
      </c>
      <c r="H23" s="6">
        <f>H10*'Параметры'!$B$14</f>
        <v/>
      </c>
      <c r="I23" s="6">
        <f>I10*'Параметры'!$B$14</f>
        <v/>
      </c>
      <c r="J23" s="6">
        <f>J10*'Параметры'!$B$14</f>
        <v/>
      </c>
      <c r="K23" s="6">
        <f>K10*'Параметры'!$B$14</f>
        <v/>
      </c>
      <c r="L23" s="6">
        <f>L10*'Параметры'!$B$14</f>
        <v/>
      </c>
      <c r="M23" s="6">
        <f>M10*'Параметры'!$B$14</f>
        <v/>
      </c>
      <c r="N23" s="6">
        <f>N10*'Параметры'!$B$14</f>
        <v/>
      </c>
      <c r="O23" s="6">
        <f>O10*'Параметры'!$B$14</f>
        <v/>
      </c>
      <c r="P23" s="6">
        <f>P10*'Параметры'!$B$14</f>
        <v/>
      </c>
      <c r="Q23" s="6">
        <f>Q10*'Параметры'!$B$14</f>
        <v/>
      </c>
      <c r="R23" s="6">
        <f>R10*'Параметры'!$B$14</f>
        <v/>
      </c>
      <c r="S23" s="6">
        <f>S10*'Параметры'!$B$14</f>
        <v/>
      </c>
      <c r="T23" s="6">
        <f>T10*'Параметры'!$B$14</f>
        <v/>
      </c>
      <c r="U23" s="6">
        <f>U10*'Параметры'!$B$14</f>
        <v/>
      </c>
      <c r="V23" s="6">
        <f>V10*'Параметры'!$B$14</f>
        <v/>
      </c>
      <c r="W23" s="6">
        <f>W10*'Параметры'!$B$14</f>
        <v/>
      </c>
      <c r="X23" s="6">
        <f>X10*'Параметры'!$B$14</f>
        <v/>
      </c>
      <c r="Y23" s="6">
        <f>Y10*'Параметры'!$B$14</f>
        <v/>
      </c>
    </row>
    <row r="24">
      <c r="A24" s="4" t="inlineStr">
        <is>
          <t>API Яндекса: бесплатные проверки</t>
        </is>
      </c>
      <c r="B24" s="6">
        <f>B8*'Параметры'!$B$15</f>
        <v/>
      </c>
      <c r="C24" s="6">
        <f>C8*'Параметры'!$B$15</f>
        <v/>
      </c>
      <c r="D24" s="6">
        <f>D8*'Параметры'!$B$15</f>
        <v/>
      </c>
      <c r="E24" s="6">
        <f>E8*'Параметры'!$B$15</f>
        <v/>
      </c>
      <c r="F24" s="6">
        <f>F8*'Параметры'!$B$15</f>
        <v/>
      </c>
      <c r="G24" s="6">
        <f>G8*'Параметры'!$B$15</f>
        <v/>
      </c>
      <c r="H24" s="6">
        <f>H8*'Параметры'!$B$15</f>
        <v/>
      </c>
      <c r="I24" s="6">
        <f>I8*'Параметры'!$B$15</f>
        <v/>
      </c>
      <c r="J24" s="6">
        <f>J8*'Параметры'!$B$15</f>
        <v/>
      </c>
      <c r="K24" s="6">
        <f>K8*'Параметры'!$B$15</f>
        <v/>
      </c>
      <c r="L24" s="6">
        <f>L8*'Параметры'!$B$15</f>
        <v/>
      </c>
      <c r="M24" s="6">
        <f>M8*'Параметры'!$B$15</f>
        <v/>
      </c>
      <c r="N24" s="6">
        <f>N8*'Параметры'!$B$15</f>
        <v/>
      </c>
      <c r="O24" s="6">
        <f>O8*'Параметры'!$B$15</f>
        <v/>
      </c>
      <c r="P24" s="6">
        <f>P8*'Параметры'!$B$15</f>
        <v/>
      </c>
      <c r="Q24" s="6">
        <f>Q8*'Параметры'!$B$15</f>
        <v/>
      </c>
      <c r="R24" s="6">
        <f>R8*'Параметры'!$B$15</f>
        <v/>
      </c>
      <c r="S24" s="6">
        <f>S8*'Параметры'!$B$15</f>
        <v/>
      </c>
      <c r="T24" s="6">
        <f>T8*'Параметры'!$B$15</f>
        <v/>
      </c>
      <c r="U24" s="6">
        <f>U8*'Параметры'!$B$15</f>
        <v/>
      </c>
      <c r="V24" s="6">
        <f>V8*'Параметры'!$B$15</f>
        <v/>
      </c>
      <c r="W24" s="6">
        <f>W8*'Параметры'!$B$15</f>
        <v/>
      </c>
      <c r="X24" s="6">
        <f>X8*'Параметры'!$B$15</f>
        <v/>
      </c>
      <c r="Y24" s="6">
        <f>Y8*'Параметры'!$B$15</f>
        <v/>
      </c>
    </row>
    <row r="25">
      <c r="A25" s="4" t="inlineStr">
        <is>
          <t>LLM: тексты рекомендаций</t>
        </is>
      </c>
      <c r="B25" s="6">
        <f>(B14*'Параметры'!$B$20+B15*'Параметры'!$B$21+B16*'Параметры'!$B$22)*'Параметры'!$B$16*'Параметры'!$B$18+B10*'Параметры'!$B$18+B8*'Параметры'!$B$19</f>
        <v/>
      </c>
      <c r="C25" s="6">
        <f>(C14*'Параметры'!$B$20+C15*'Параметры'!$B$21+C16*'Параметры'!$B$22)*'Параметры'!$B$16*'Параметры'!$B$18+C10*'Параметры'!$B$18+C8*'Параметры'!$B$19</f>
        <v/>
      </c>
      <c r="D25" s="6">
        <f>(D14*'Параметры'!$B$20+D15*'Параметры'!$B$21+D16*'Параметры'!$B$22)*'Параметры'!$B$16*'Параметры'!$B$18+D10*'Параметры'!$B$18+D8*'Параметры'!$B$19</f>
        <v/>
      </c>
      <c r="E25" s="6">
        <f>(E14*'Параметры'!$B$20+E15*'Параметры'!$B$21+E16*'Параметры'!$B$22)*'Параметры'!$B$16*'Параметры'!$B$18+E10*'Параметры'!$B$18+E8*'Параметры'!$B$19</f>
        <v/>
      </c>
      <c r="F25" s="6">
        <f>(F14*'Параметры'!$B$20+F15*'Параметры'!$B$21+F16*'Параметры'!$B$22)*'Параметры'!$B$16*'Параметры'!$B$18+F10*'Параметры'!$B$18+F8*'Параметры'!$B$19</f>
        <v/>
      </c>
      <c r="G25" s="6">
        <f>(G14*'Параметры'!$B$20+G15*'Параметры'!$B$21+G16*'Параметры'!$B$22)*'Параметры'!$B$16*'Параметры'!$B$18+G10*'Параметры'!$B$18+G8*'Параметры'!$B$19</f>
        <v/>
      </c>
      <c r="H25" s="6">
        <f>(H14*'Параметры'!$B$20+H15*'Параметры'!$B$21+H16*'Параметры'!$B$22)*'Параметры'!$B$16*'Параметры'!$B$18+H10*'Параметры'!$B$18+H8*'Параметры'!$B$19</f>
        <v/>
      </c>
      <c r="I25" s="6">
        <f>(I14*'Параметры'!$B$20+I15*'Параметры'!$B$21+I16*'Параметры'!$B$22)*'Параметры'!$B$16*'Параметры'!$B$18+I10*'Параметры'!$B$18+I8*'Параметры'!$B$19</f>
        <v/>
      </c>
      <c r="J25" s="6">
        <f>(J14*'Параметры'!$B$20+J15*'Параметры'!$B$21+J16*'Параметры'!$B$22)*'Параметры'!$B$16*'Параметры'!$B$18+J10*'Параметры'!$B$18+J8*'Параметры'!$B$19</f>
        <v/>
      </c>
      <c r="K25" s="6">
        <f>(K14*'Параметры'!$B$20+K15*'Параметры'!$B$21+K16*'Параметры'!$B$22)*'Параметры'!$B$16*'Параметры'!$B$18+K10*'Параметры'!$B$18+K8*'Параметры'!$B$19</f>
        <v/>
      </c>
      <c r="L25" s="6">
        <f>(L14*'Параметры'!$B$20+L15*'Параметры'!$B$21+L16*'Параметры'!$B$22)*'Параметры'!$B$16*'Параметры'!$B$18+L10*'Параметры'!$B$18+L8*'Параметры'!$B$19</f>
        <v/>
      </c>
      <c r="M25" s="6">
        <f>(M14*'Параметры'!$B$20+M15*'Параметры'!$B$21+M16*'Параметры'!$B$22)*'Параметры'!$B$16*'Параметры'!$B$18+M10*'Параметры'!$B$18+M8*'Параметры'!$B$19</f>
        <v/>
      </c>
      <c r="N25" s="6">
        <f>(N14*'Параметры'!$B$20+N15*'Параметры'!$B$21+N16*'Параметры'!$B$22)*'Параметры'!$B$16*'Параметры'!$B$18+N10*'Параметры'!$B$18+N8*'Параметры'!$B$19</f>
        <v/>
      </c>
      <c r="O25" s="6">
        <f>(O14*'Параметры'!$B$20+O15*'Параметры'!$B$21+O16*'Параметры'!$B$22)*'Параметры'!$B$16*'Параметры'!$B$18+O10*'Параметры'!$B$18+O8*'Параметры'!$B$19</f>
        <v/>
      </c>
      <c r="P25" s="6">
        <f>(P14*'Параметры'!$B$20+P15*'Параметры'!$B$21+P16*'Параметры'!$B$22)*'Параметры'!$B$16*'Параметры'!$B$18+P10*'Параметры'!$B$18+P8*'Параметры'!$B$19</f>
        <v/>
      </c>
      <c r="Q25" s="6">
        <f>(Q14*'Параметры'!$B$20+Q15*'Параметры'!$B$21+Q16*'Параметры'!$B$22)*'Параметры'!$B$16*'Параметры'!$B$18+Q10*'Параметры'!$B$18+Q8*'Параметры'!$B$19</f>
        <v/>
      </c>
      <c r="R25" s="6">
        <f>(R14*'Параметры'!$B$20+R15*'Параметры'!$B$21+R16*'Параметры'!$B$22)*'Параметры'!$B$16*'Параметры'!$B$18+R10*'Параметры'!$B$18+R8*'Параметры'!$B$19</f>
        <v/>
      </c>
      <c r="S25" s="6">
        <f>(S14*'Параметры'!$B$20+S15*'Параметры'!$B$21+S16*'Параметры'!$B$22)*'Параметры'!$B$16*'Параметры'!$B$18+S10*'Параметры'!$B$18+S8*'Параметры'!$B$19</f>
        <v/>
      </c>
      <c r="T25" s="6">
        <f>(T14*'Параметры'!$B$20+T15*'Параметры'!$B$21+T16*'Параметры'!$B$22)*'Параметры'!$B$16*'Параметры'!$B$18+T10*'Параметры'!$B$18+T8*'Параметры'!$B$19</f>
        <v/>
      </c>
      <c r="U25" s="6">
        <f>(U14*'Параметры'!$B$20+U15*'Параметры'!$B$21+U16*'Параметры'!$B$22)*'Параметры'!$B$16*'Параметры'!$B$18+U10*'Параметры'!$B$18+U8*'Параметры'!$B$19</f>
        <v/>
      </c>
      <c r="V25" s="6">
        <f>(V14*'Параметры'!$B$20+V15*'Параметры'!$B$21+V16*'Параметры'!$B$22)*'Параметры'!$B$16*'Параметры'!$B$18+V10*'Параметры'!$B$18+V8*'Параметры'!$B$19</f>
        <v/>
      </c>
      <c r="W25" s="6">
        <f>(W14*'Параметры'!$B$20+W15*'Параметры'!$B$21+W16*'Параметры'!$B$22)*'Параметры'!$B$16*'Параметры'!$B$18+W10*'Параметры'!$B$18+W8*'Параметры'!$B$19</f>
        <v/>
      </c>
      <c r="X25" s="6">
        <f>(X14*'Параметры'!$B$20+X15*'Параметры'!$B$21+X16*'Параметры'!$B$22)*'Параметры'!$B$16*'Параметры'!$B$18+X10*'Параметры'!$B$18+X8*'Параметры'!$B$19</f>
        <v/>
      </c>
      <c r="Y25" s="6">
        <f>(Y14*'Параметры'!$B$20+Y15*'Параметры'!$B$21+Y16*'Параметры'!$B$22)*'Параметры'!$B$16*'Параметры'!$B$18+Y10*'Параметры'!$B$18+Y8*'Параметры'!$B$19</f>
        <v/>
      </c>
    </row>
    <row r="26">
      <c r="A26" s="4" t="inlineStr">
        <is>
          <t>Эквайринг</t>
        </is>
      </c>
      <c r="B26" s="6">
        <f>B20*'Параметры'!$B$24</f>
        <v/>
      </c>
      <c r="C26" s="6">
        <f>C20*'Параметры'!$B$24</f>
        <v/>
      </c>
      <c r="D26" s="6">
        <f>D20*'Параметры'!$B$24</f>
        <v/>
      </c>
      <c r="E26" s="6">
        <f>E20*'Параметры'!$B$24</f>
        <v/>
      </c>
      <c r="F26" s="6">
        <f>F20*'Параметры'!$B$24</f>
        <v/>
      </c>
      <c r="G26" s="6">
        <f>G20*'Параметры'!$B$24</f>
        <v/>
      </c>
      <c r="H26" s="6">
        <f>H20*'Параметры'!$B$24</f>
        <v/>
      </c>
      <c r="I26" s="6">
        <f>I20*'Параметры'!$B$24</f>
        <v/>
      </c>
      <c r="J26" s="6">
        <f>J20*'Параметры'!$B$24</f>
        <v/>
      </c>
      <c r="K26" s="6">
        <f>K20*'Параметры'!$B$24</f>
        <v/>
      </c>
      <c r="L26" s="6">
        <f>L20*'Параметры'!$B$24</f>
        <v/>
      </c>
      <c r="M26" s="6">
        <f>M20*'Параметры'!$B$24</f>
        <v/>
      </c>
      <c r="N26" s="6">
        <f>N20*'Параметры'!$B$24</f>
        <v/>
      </c>
      <c r="O26" s="6">
        <f>O20*'Параметры'!$B$24</f>
        <v/>
      </c>
      <c r="P26" s="6">
        <f>P20*'Параметры'!$B$24</f>
        <v/>
      </c>
      <c r="Q26" s="6">
        <f>Q20*'Параметры'!$B$24</f>
        <v/>
      </c>
      <c r="R26" s="6">
        <f>R20*'Параметры'!$B$24</f>
        <v/>
      </c>
      <c r="S26" s="6">
        <f>S20*'Параметры'!$B$24</f>
        <v/>
      </c>
      <c r="T26" s="6">
        <f>T20*'Параметры'!$B$24</f>
        <v/>
      </c>
      <c r="U26" s="6">
        <f>U20*'Параметры'!$B$24</f>
        <v/>
      </c>
      <c r="V26" s="6">
        <f>V20*'Параметры'!$B$24</f>
        <v/>
      </c>
      <c r="W26" s="6">
        <f>W20*'Параметры'!$B$24</f>
        <v/>
      </c>
      <c r="X26" s="6">
        <f>X20*'Параметры'!$B$24</f>
        <v/>
      </c>
      <c r="Y26" s="6">
        <f>Y20*'Параметры'!$B$24</f>
        <v/>
      </c>
    </row>
    <row r="27">
      <c r="A27" s="9" t="inlineStr">
        <is>
          <t>Налоги и взносы</t>
        </is>
      </c>
    </row>
    <row r="28">
      <c r="A28" s="4" t="inlineStr">
        <is>
          <t>Выручка за 12 месяцев (для порога НДС)</t>
        </is>
      </c>
      <c r="B28" s="8">
        <f>SUM(B20:B20)</f>
        <v/>
      </c>
      <c r="C28" s="8">
        <f>SUM(B20:C20)</f>
        <v/>
      </c>
      <c r="D28" s="8">
        <f>SUM(B20:D20)</f>
        <v/>
      </c>
      <c r="E28" s="8">
        <f>SUM(B20:E20)</f>
        <v/>
      </c>
      <c r="F28" s="8">
        <f>SUM(B20:F20)</f>
        <v/>
      </c>
      <c r="G28" s="8">
        <f>SUM(B20:G20)</f>
        <v/>
      </c>
      <c r="H28" s="8">
        <f>SUM(B20:H20)</f>
        <v/>
      </c>
      <c r="I28" s="8">
        <f>SUM(B20:I20)</f>
        <v/>
      </c>
      <c r="J28" s="8">
        <f>SUM(B20:J20)</f>
        <v/>
      </c>
      <c r="K28" s="8">
        <f>SUM(B20:K20)</f>
        <v/>
      </c>
      <c r="L28" s="8">
        <f>SUM(B20:L20)</f>
        <v/>
      </c>
      <c r="M28" s="8">
        <f>SUM(B20:M20)</f>
        <v/>
      </c>
      <c r="N28" s="8">
        <f>SUM(C20:N20)</f>
        <v/>
      </c>
      <c r="O28" s="8">
        <f>SUM(D20:O20)</f>
        <v/>
      </c>
      <c r="P28" s="8">
        <f>SUM(E20:P20)</f>
        <v/>
      </c>
      <c r="Q28" s="8">
        <f>SUM(F20:Q20)</f>
        <v/>
      </c>
      <c r="R28" s="8">
        <f>SUM(G20:R20)</f>
        <v/>
      </c>
      <c r="S28" s="8">
        <f>SUM(H20:S20)</f>
        <v/>
      </c>
      <c r="T28" s="8">
        <f>SUM(I20:T20)</f>
        <v/>
      </c>
      <c r="U28" s="8">
        <f>SUM(J20:U20)</f>
        <v/>
      </c>
      <c r="V28" s="8">
        <f>SUM(K20:V20)</f>
        <v/>
      </c>
      <c r="W28" s="8">
        <f>SUM(L20:W20)</f>
        <v/>
      </c>
      <c r="X28" s="8">
        <f>SUM(M20:X20)</f>
        <v/>
      </c>
      <c r="Y28" s="8">
        <f>SUM(N20:Y20)</f>
        <v/>
      </c>
    </row>
    <row r="29">
      <c r="A29" s="4" t="inlineStr">
        <is>
          <t>Налог УСН</t>
        </is>
      </c>
      <c r="B29" s="6">
        <f>B20*'Параметры'!$B$25</f>
        <v/>
      </c>
      <c r="C29" s="6">
        <f>C20*'Параметры'!$B$25</f>
        <v/>
      </c>
      <c r="D29" s="6">
        <f>D20*'Параметры'!$B$25</f>
        <v/>
      </c>
      <c r="E29" s="6">
        <f>E20*'Параметры'!$B$25</f>
        <v/>
      </c>
      <c r="F29" s="6">
        <f>F20*'Параметры'!$B$25</f>
        <v/>
      </c>
      <c r="G29" s="6">
        <f>G20*'Параметры'!$B$25</f>
        <v/>
      </c>
      <c r="H29" s="6">
        <f>H20*'Параметры'!$B$25</f>
        <v/>
      </c>
      <c r="I29" s="6">
        <f>I20*'Параметры'!$B$25</f>
        <v/>
      </c>
      <c r="J29" s="6">
        <f>J20*'Параметры'!$B$25</f>
        <v/>
      </c>
      <c r="K29" s="6">
        <f>K20*'Параметры'!$B$25</f>
        <v/>
      </c>
      <c r="L29" s="6">
        <f>L20*'Параметры'!$B$25</f>
        <v/>
      </c>
      <c r="M29" s="6">
        <f>M20*'Параметры'!$B$25</f>
        <v/>
      </c>
      <c r="N29" s="6">
        <f>N20*'Параметры'!$B$25</f>
        <v/>
      </c>
      <c r="O29" s="6">
        <f>O20*'Параметры'!$B$25</f>
        <v/>
      </c>
      <c r="P29" s="6">
        <f>P20*'Параметры'!$B$25</f>
        <v/>
      </c>
      <c r="Q29" s="6">
        <f>Q20*'Параметры'!$B$25</f>
        <v/>
      </c>
      <c r="R29" s="6">
        <f>R20*'Параметры'!$B$25</f>
        <v/>
      </c>
      <c r="S29" s="6">
        <f>S20*'Параметры'!$B$25</f>
        <v/>
      </c>
      <c r="T29" s="6">
        <f>T20*'Параметры'!$B$25</f>
        <v/>
      </c>
      <c r="U29" s="6">
        <f>U20*'Параметры'!$B$25</f>
        <v/>
      </c>
      <c r="V29" s="6">
        <f>V20*'Параметры'!$B$25</f>
        <v/>
      </c>
      <c r="W29" s="6">
        <f>W20*'Параметры'!$B$25</f>
        <v/>
      </c>
      <c r="X29" s="6">
        <f>X20*'Параметры'!$B$25</f>
        <v/>
      </c>
      <c r="Y29" s="6">
        <f>Y20*'Параметры'!$B$25</f>
        <v/>
      </c>
    </row>
    <row r="30">
      <c r="A30" s="4" t="inlineStr">
        <is>
          <t>НДС</t>
        </is>
      </c>
      <c r="B30" s="6">
        <f>IF(B28&gt;'Параметры'!$B$26,B20*'Параметры'!$B$27,0)</f>
        <v/>
      </c>
      <c r="C30" s="6">
        <f>IF(C28&gt;'Параметры'!$B$26,C20*'Параметры'!$B$27,0)</f>
        <v/>
      </c>
      <c r="D30" s="6">
        <f>IF(D28&gt;'Параметры'!$B$26,D20*'Параметры'!$B$27,0)</f>
        <v/>
      </c>
      <c r="E30" s="6">
        <f>IF(E28&gt;'Параметры'!$B$26,E20*'Параметры'!$B$27,0)</f>
        <v/>
      </c>
      <c r="F30" s="6">
        <f>IF(F28&gt;'Параметры'!$B$26,F20*'Параметры'!$B$27,0)</f>
        <v/>
      </c>
      <c r="G30" s="6">
        <f>IF(G28&gt;'Параметры'!$B$26,G20*'Параметры'!$B$27,0)</f>
        <v/>
      </c>
      <c r="H30" s="6">
        <f>IF(H28&gt;'Параметры'!$B$26,H20*'Параметры'!$B$27,0)</f>
        <v/>
      </c>
      <c r="I30" s="6">
        <f>IF(I28&gt;'Параметры'!$B$26,I20*'Параметры'!$B$27,0)</f>
        <v/>
      </c>
      <c r="J30" s="6">
        <f>IF(J28&gt;'Параметры'!$B$26,J20*'Параметры'!$B$27,0)</f>
        <v/>
      </c>
      <c r="K30" s="6">
        <f>IF(K28&gt;'Параметры'!$B$26,K20*'Параметры'!$B$27,0)</f>
        <v/>
      </c>
      <c r="L30" s="6">
        <f>IF(L28&gt;'Параметры'!$B$26,L20*'Параметры'!$B$27,0)</f>
        <v/>
      </c>
      <c r="M30" s="6">
        <f>IF(M28&gt;'Параметры'!$B$26,M20*'Параметры'!$B$27,0)</f>
        <v/>
      </c>
      <c r="N30" s="6">
        <f>IF(N28&gt;'Параметры'!$B$26,N20*'Параметры'!$B$27,0)</f>
        <v/>
      </c>
      <c r="O30" s="6">
        <f>IF(O28&gt;'Параметры'!$B$26,O20*'Параметры'!$B$27,0)</f>
        <v/>
      </c>
      <c r="P30" s="6">
        <f>IF(P28&gt;'Параметры'!$B$26,P20*'Параметры'!$B$27,0)</f>
        <v/>
      </c>
      <c r="Q30" s="6">
        <f>IF(Q28&gt;'Параметры'!$B$26,Q20*'Параметры'!$B$27,0)</f>
        <v/>
      </c>
      <c r="R30" s="6">
        <f>IF(R28&gt;'Параметры'!$B$26,R20*'Параметры'!$B$27,0)</f>
        <v/>
      </c>
      <c r="S30" s="6">
        <f>IF(S28&gt;'Параметры'!$B$26,S20*'Параметры'!$B$27,0)</f>
        <v/>
      </c>
      <c r="T30" s="6">
        <f>IF(T28&gt;'Параметры'!$B$26,T20*'Параметры'!$B$27,0)</f>
        <v/>
      </c>
      <c r="U30" s="6">
        <f>IF(U28&gt;'Параметры'!$B$26,U20*'Параметры'!$B$27,0)</f>
        <v/>
      </c>
      <c r="V30" s="6">
        <f>IF(V28&gt;'Параметры'!$B$26,V20*'Параметры'!$B$27,0)</f>
        <v/>
      </c>
      <c r="W30" s="6">
        <f>IF(W28&gt;'Параметры'!$B$26,W20*'Параметры'!$B$27,0)</f>
        <v/>
      </c>
      <c r="X30" s="6">
        <f>IF(X28&gt;'Параметры'!$B$26,X20*'Параметры'!$B$27,0)</f>
        <v/>
      </c>
      <c r="Y30" s="6">
        <f>IF(Y28&gt;'Параметры'!$B$26,Y20*'Параметры'!$B$27,0)</f>
        <v/>
      </c>
    </row>
    <row r="31">
      <c r="A31" s="4" t="inlineStr">
        <is>
          <t>Страховые взносы ИП</t>
        </is>
      </c>
      <c r="B31" s="6">
        <f>'Параметры'!$B$28/12+MAX(0,B20-'Параметры'!$B$29/12)*'Параметры'!$B$30</f>
        <v/>
      </c>
      <c r="C31" s="6">
        <f>'Параметры'!$B$28/12+MAX(0,C20-'Параметры'!$B$29/12)*'Параметры'!$B$30</f>
        <v/>
      </c>
      <c r="D31" s="6">
        <f>'Параметры'!$B$28/12+MAX(0,D20-'Параметры'!$B$29/12)*'Параметры'!$B$30</f>
        <v/>
      </c>
      <c r="E31" s="6">
        <f>'Параметры'!$B$28/12+MAX(0,E20-'Параметры'!$B$29/12)*'Параметры'!$B$30</f>
        <v/>
      </c>
      <c r="F31" s="6">
        <f>'Параметры'!$B$28/12+MAX(0,F20-'Параметры'!$B$29/12)*'Параметры'!$B$30</f>
        <v/>
      </c>
      <c r="G31" s="6">
        <f>'Параметры'!$B$28/12+MAX(0,G20-'Параметры'!$B$29/12)*'Параметры'!$B$30</f>
        <v/>
      </c>
      <c r="H31" s="6">
        <f>'Параметры'!$B$28/12+MAX(0,H20-'Параметры'!$B$29/12)*'Параметры'!$B$30</f>
        <v/>
      </c>
      <c r="I31" s="6">
        <f>'Параметры'!$B$28/12+MAX(0,I20-'Параметры'!$B$29/12)*'Параметры'!$B$30</f>
        <v/>
      </c>
      <c r="J31" s="6">
        <f>'Параметры'!$B$28/12+MAX(0,J20-'Параметры'!$B$29/12)*'Параметры'!$B$30</f>
        <v/>
      </c>
      <c r="K31" s="6">
        <f>'Параметры'!$B$28/12+MAX(0,K20-'Параметры'!$B$29/12)*'Параметры'!$B$30</f>
        <v/>
      </c>
      <c r="L31" s="6">
        <f>'Параметры'!$B$28/12+MAX(0,L20-'Параметры'!$B$29/12)*'Параметры'!$B$30</f>
        <v/>
      </c>
      <c r="M31" s="6">
        <f>'Параметры'!$B$28/12+MAX(0,M20-'Параметры'!$B$29/12)*'Параметры'!$B$30</f>
        <v/>
      </c>
      <c r="N31" s="6">
        <f>'Параметры'!$B$28/12+MAX(0,N20-'Параметры'!$B$29/12)*'Параметры'!$B$30</f>
        <v/>
      </c>
      <c r="O31" s="6">
        <f>'Параметры'!$B$28/12+MAX(0,O20-'Параметры'!$B$29/12)*'Параметры'!$B$30</f>
        <v/>
      </c>
      <c r="P31" s="6">
        <f>'Параметры'!$B$28/12+MAX(0,P20-'Параметры'!$B$29/12)*'Параметры'!$B$30</f>
        <v/>
      </c>
      <c r="Q31" s="6">
        <f>'Параметры'!$B$28/12+MAX(0,Q20-'Параметры'!$B$29/12)*'Параметры'!$B$30</f>
        <v/>
      </c>
      <c r="R31" s="6">
        <f>'Параметры'!$B$28/12+MAX(0,R20-'Параметры'!$B$29/12)*'Параметры'!$B$30</f>
        <v/>
      </c>
      <c r="S31" s="6">
        <f>'Параметры'!$B$28/12+MAX(0,S20-'Параметры'!$B$29/12)*'Параметры'!$B$30</f>
        <v/>
      </c>
      <c r="T31" s="6">
        <f>'Параметры'!$B$28/12+MAX(0,T20-'Параметры'!$B$29/12)*'Параметры'!$B$30</f>
        <v/>
      </c>
      <c r="U31" s="6">
        <f>'Параметры'!$B$28/12+MAX(0,U20-'Параметры'!$B$29/12)*'Параметры'!$B$30</f>
        <v/>
      </c>
      <c r="V31" s="6">
        <f>'Параметры'!$B$28/12+MAX(0,V20-'Параметры'!$B$29/12)*'Параметры'!$B$30</f>
        <v/>
      </c>
      <c r="W31" s="6">
        <f>'Параметры'!$B$28/12+MAX(0,W20-'Параметры'!$B$29/12)*'Параметры'!$B$30</f>
        <v/>
      </c>
      <c r="X31" s="6">
        <f>'Параметры'!$B$28/12+MAX(0,X20-'Параметры'!$B$29/12)*'Параметры'!$B$30</f>
        <v/>
      </c>
      <c r="Y31" s="6">
        <f>'Параметры'!$B$28/12+MAX(0,Y20-'Параметры'!$B$29/12)*'Параметры'!$B$30</f>
        <v/>
      </c>
    </row>
    <row r="32">
      <c r="A32" s="9" t="inlineStr">
        <is>
          <t>Постоянные расходы</t>
        </is>
      </c>
    </row>
    <row r="33">
      <c r="A33" s="4" t="inlineStr">
        <is>
          <t>Сервер, база, касса, домен, прочее</t>
        </is>
      </c>
      <c r="B33" s="6">
        <f>'Параметры'!$B$32+'Параметры'!$B$33+'Параметры'!$B$34+'Параметры'!$B$35+'Параметры'!$B$36</f>
        <v/>
      </c>
      <c r="C33" s="6">
        <f>'Параметры'!$B$32+'Параметры'!$B$33+'Параметры'!$B$34+'Параметры'!$B$35+'Параметры'!$B$36</f>
        <v/>
      </c>
      <c r="D33" s="6">
        <f>'Параметры'!$B$32+'Параметры'!$B$33+'Параметры'!$B$34+'Параметры'!$B$35+'Параметры'!$B$36</f>
        <v/>
      </c>
      <c r="E33" s="6">
        <f>'Параметры'!$B$32+'Параметры'!$B$33+'Параметры'!$B$34+'Параметры'!$B$35+'Параметры'!$B$36</f>
        <v/>
      </c>
      <c r="F33" s="6">
        <f>'Параметры'!$B$32+'Параметры'!$B$33+'Параметры'!$B$34+'Параметры'!$B$35+'Параметры'!$B$36</f>
        <v/>
      </c>
      <c r="G33" s="6">
        <f>'Параметры'!$B$32+'Параметры'!$B$33+'Параметры'!$B$34+'Параметры'!$B$35+'Параметры'!$B$36</f>
        <v/>
      </c>
      <c r="H33" s="6">
        <f>'Параметры'!$B$32+'Параметры'!$B$33+'Параметры'!$B$34+'Параметры'!$B$35+'Параметры'!$B$36</f>
        <v/>
      </c>
      <c r="I33" s="6">
        <f>'Параметры'!$B$32+'Параметры'!$B$33+'Параметры'!$B$34+'Параметры'!$B$35+'Параметры'!$B$36</f>
        <v/>
      </c>
      <c r="J33" s="6">
        <f>'Параметры'!$B$32+'Параметры'!$B$33+'Параметры'!$B$34+'Параметры'!$B$35+'Параметры'!$B$36</f>
        <v/>
      </c>
      <c r="K33" s="6">
        <f>'Параметры'!$B$32+'Параметры'!$B$33+'Параметры'!$B$34+'Параметры'!$B$35+'Параметры'!$B$36</f>
        <v/>
      </c>
      <c r="L33" s="6">
        <f>'Параметры'!$B$32+'Параметры'!$B$33+'Параметры'!$B$34+'Параметры'!$B$35+'Параметры'!$B$36</f>
        <v/>
      </c>
      <c r="M33" s="6">
        <f>'Параметры'!$B$32+'Параметры'!$B$33+'Параметры'!$B$34+'Параметры'!$B$35+'Параметры'!$B$36</f>
        <v/>
      </c>
      <c r="N33" s="6">
        <f>'Параметры'!$B$32+'Параметры'!$B$33+'Параметры'!$B$34+'Параметры'!$B$35+'Параметры'!$B$36</f>
        <v/>
      </c>
      <c r="O33" s="6">
        <f>'Параметры'!$B$32+'Параметры'!$B$33+'Параметры'!$B$34+'Параметры'!$B$35+'Параметры'!$B$36</f>
        <v/>
      </c>
      <c r="P33" s="6">
        <f>'Параметры'!$B$32+'Параметры'!$B$33+'Параметры'!$B$34+'Параметры'!$B$35+'Параметры'!$B$36</f>
        <v/>
      </c>
      <c r="Q33" s="6">
        <f>'Параметры'!$B$32+'Параметры'!$B$33+'Параметры'!$B$34+'Параметры'!$B$35+'Параметры'!$B$36</f>
        <v/>
      </c>
      <c r="R33" s="6">
        <f>'Параметры'!$B$32+'Параметры'!$B$33+'Параметры'!$B$34+'Параметры'!$B$35+'Параметры'!$B$36</f>
        <v/>
      </c>
      <c r="S33" s="6">
        <f>'Параметры'!$B$32+'Параметры'!$B$33+'Параметры'!$B$34+'Параметры'!$B$35+'Параметры'!$B$36</f>
        <v/>
      </c>
      <c r="T33" s="6">
        <f>'Параметры'!$B$32+'Параметры'!$B$33+'Параметры'!$B$34+'Параметры'!$B$35+'Параметры'!$B$36</f>
        <v/>
      </c>
      <c r="U33" s="6">
        <f>'Параметры'!$B$32+'Параметры'!$B$33+'Параметры'!$B$34+'Параметры'!$B$35+'Параметры'!$B$36</f>
        <v/>
      </c>
      <c r="V33" s="6">
        <f>'Параметры'!$B$32+'Параметры'!$B$33+'Параметры'!$B$34+'Параметры'!$B$35+'Параметры'!$B$36</f>
        <v/>
      </c>
      <c r="W33" s="6">
        <f>'Параметры'!$B$32+'Параметры'!$B$33+'Параметры'!$B$34+'Параметры'!$B$35+'Параметры'!$B$36</f>
        <v/>
      </c>
      <c r="X33" s="6">
        <f>'Параметры'!$B$32+'Параметры'!$B$33+'Параметры'!$B$34+'Параметры'!$B$35+'Параметры'!$B$36</f>
        <v/>
      </c>
      <c r="Y33" s="6">
        <f>'Параметры'!$B$32+'Параметры'!$B$33+'Параметры'!$B$34+'Параметры'!$B$35+'Параметры'!$B$36</f>
        <v/>
      </c>
    </row>
    <row r="34">
      <c r="A34" s="4" t="inlineStr">
        <is>
          <t>Реклама</t>
        </is>
      </c>
      <c r="B34" s="6">
        <f>'Параметры'!$B$41</f>
        <v/>
      </c>
      <c r="C34" s="6">
        <f>'Параметры'!$B$41</f>
        <v/>
      </c>
      <c r="D34" s="6">
        <f>'Параметры'!$B$41</f>
        <v/>
      </c>
      <c r="E34" s="6">
        <f>'Параметры'!$B$41</f>
        <v/>
      </c>
      <c r="F34" s="6">
        <f>'Параметры'!$B$41</f>
        <v/>
      </c>
      <c r="G34" s="6">
        <f>'Параметры'!$B$41</f>
        <v/>
      </c>
      <c r="H34" s="6">
        <f>'Параметры'!$B$41</f>
        <v/>
      </c>
      <c r="I34" s="6">
        <f>'Параметры'!$B$41</f>
        <v/>
      </c>
      <c r="J34" s="6">
        <f>'Параметры'!$B$41</f>
        <v/>
      </c>
      <c r="K34" s="6">
        <f>'Параметры'!$B$41</f>
        <v/>
      </c>
      <c r="L34" s="6">
        <f>'Параметры'!$B$41</f>
        <v/>
      </c>
      <c r="M34" s="6">
        <f>'Параметры'!$B$41</f>
        <v/>
      </c>
      <c r="N34" s="6">
        <f>'Параметры'!$B$41</f>
        <v/>
      </c>
      <c r="O34" s="6">
        <f>'Параметры'!$B$41</f>
        <v/>
      </c>
      <c r="P34" s="6">
        <f>'Параметры'!$B$41</f>
        <v/>
      </c>
      <c r="Q34" s="6">
        <f>'Параметры'!$B$41</f>
        <v/>
      </c>
      <c r="R34" s="6">
        <f>'Параметры'!$B$41</f>
        <v/>
      </c>
      <c r="S34" s="6">
        <f>'Параметры'!$B$41</f>
        <v/>
      </c>
      <c r="T34" s="6">
        <f>'Параметры'!$B$41</f>
        <v/>
      </c>
      <c r="U34" s="6">
        <f>'Параметры'!$B$41</f>
        <v/>
      </c>
      <c r="V34" s="6">
        <f>'Параметры'!$B$41</f>
        <v/>
      </c>
      <c r="W34" s="6">
        <f>'Параметры'!$B$41</f>
        <v/>
      </c>
      <c r="X34" s="6">
        <f>'Параметры'!$B$41</f>
        <v/>
      </c>
      <c r="Y34" s="6">
        <f>'Параметры'!$B$41</f>
        <v/>
      </c>
    </row>
    <row r="35">
      <c r="A35" s="4" t="inlineStr">
        <is>
          <t>Работа владельцев</t>
        </is>
      </c>
      <c r="B35" s="6">
        <f>'Параметры'!$B$37</f>
        <v/>
      </c>
      <c r="C35" s="6">
        <f>'Параметры'!$B$37</f>
        <v/>
      </c>
      <c r="D35" s="6">
        <f>'Параметры'!$B$37</f>
        <v/>
      </c>
      <c r="E35" s="6">
        <f>'Параметры'!$B$37</f>
        <v/>
      </c>
      <c r="F35" s="6">
        <f>'Параметры'!$B$37</f>
        <v/>
      </c>
      <c r="G35" s="6">
        <f>'Параметры'!$B$37</f>
        <v/>
      </c>
      <c r="H35" s="6">
        <f>'Параметры'!$B$37</f>
        <v/>
      </c>
      <c r="I35" s="6">
        <f>'Параметры'!$B$37</f>
        <v/>
      </c>
      <c r="J35" s="6">
        <f>'Параметры'!$B$37</f>
        <v/>
      </c>
      <c r="K35" s="6">
        <f>'Параметры'!$B$37</f>
        <v/>
      </c>
      <c r="L35" s="6">
        <f>'Параметры'!$B$37</f>
        <v/>
      </c>
      <c r="M35" s="6">
        <f>'Параметры'!$B$37</f>
        <v/>
      </c>
      <c r="N35" s="6">
        <f>'Параметры'!$B$37</f>
        <v/>
      </c>
      <c r="O35" s="6">
        <f>'Параметры'!$B$37</f>
        <v/>
      </c>
      <c r="P35" s="6">
        <f>'Параметры'!$B$37</f>
        <v/>
      </c>
      <c r="Q35" s="6">
        <f>'Параметры'!$B$37</f>
        <v/>
      </c>
      <c r="R35" s="6">
        <f>'Параметры'!$B$37</f>
        <v/>
      </c>
      <c r="S35" s="6">
        <f>'Параметры'!$B$37</f>
        <v/>
      </c>
      <c r="T35" s="6">
        <f>'Параметры'!$B$37</f>
        <v/>
      </c>
      <c r="U35" s="6">
        <f>'Параметры'!$B$37</f>
        <v/>
      </c>
      <c r="V35" s="6">
        <f>'Параметры'!$B$37</f>
        <v/>
      </c>
      <c r="W35" s="6">
        <f>'Параметры'!$B$37</f>
        <v/>
      </c>
      <c r="X35" s="6">
        <f>'Параметры'!$B$37</f>
        <v/>
      </c>
      <c r="Y35" s="6">
        <f>'Параметры'!$B$37</f>
        <v/>
      </c>
    </row>
    <row r="36">
      <c r="A36" s="9" t="inlineStr">
        <is>
          <t>Итог</t>
        </is>
      </c>
    </row>
    <row r="37">
      <c r="A37" s="9" t="inlineStr">
        <is>
          <t>Расходы всего</t>
        </is>
      </c>
      <c r="B37" s="8">
        <f>B22+B23+B24+B25+B26+B29+B30+B31+B33+B34+B35</f>
        <v/>
      </c>
      <c r="C37" s="8">
        <f>C22+C23+C24+C25+C26+C29+C30+C31+C33+C34+C35</f>
        <v/>
      </c>
      <c r="D37" s="8">
        <f>D22+D23+D24+D25+D26+D29+D30+D31+D33+D34+D35</f>
        <v/>
      </c>
      <c r="E37" s="8">
        <f>E22+E23+E24+E25+E26+E29+E30+E31+E33+E34+E35</f>
        <v/>
      </c>
      <c r="F37" s="8">
        <f>F22+F23+F24+F25+F26+F29+F30+F31+F33+F34+F35</f>
        <v/>
      </c>
      <c r="G37" s="8">
        <f>G22+G23+G24+G25+G26+G29+G30+G31+G33+G34+G35</f>
        <v/>
      </c>
      <c r="H37" s="8">
        <f>H22+H23+H24+H25+H26+H29+H30+H31+H33+H34+H35</f>
        <v/>
      </c>
      <c r="I37" s="8">
        <f>I22+I23+I24+I25+I26+I29+I30+I31+I33+I34+I35</f>
        <v/>
      </c>
      <c r="J37" s="8">
        <f>J22+J23+J24+J25+J26+J29+J30+J31+J33+J34+J35</f>
        <v/>
      </c>
      <c r="K37" s="8">
        <f>K22+K23+K24+K25+K26+K29+K30+K31+K33+K34+K35</f>
        <v/>
      </c>
      <c r="L37" s="8">
        <f>L22+L23+L24+L25+L26+L29+L30+L31+L33+L34+L35</f>
        <v/>
      </c>
      <c r="M37" s="8">
        <f>M22+M23+M24+M25+M26+M29+M30+M31+M33+M34+M35</f>
        <v/>
      </c>
      <c r="N37" s="8">
        <f>N22+N23+N24+N25+N26+N29+N30+N31+N33+N34+N35</f>
        <v/>
      </c>
      <c r="O37" s="8">
        <f>O22+O23+O24+O25+O26+O29+O30+O31+O33+O34+O35</f>
        <v/>
      </c>
      <c r="P37" s="8">
        <f>P22+P23+P24+P25+P26+P29+P30+P31+P33+P34+P35</f>
        <v/>
      </c>
      <c r="Q37" s="8">
        <f>Q22+Q23+Q24+Q25+Q26+Q29+Q30+Q31+Q33+Q34+Q35</f>
        <v/>
      </c>
      <c r="R37" s="8">
        <f>R22+R23+R24+R25+R26+R29+R30+R31+R33+R34+R35</f>
        <v/>
      </c>
      <c r="S37" s="8">
        <f>S22+S23+S24+S25+S26+S29+S30+S31+S33+S34+S35</f>
        <v/>
      </c>
      <c r="T37" s="8">
        <f>T22+T23+T24+T25+T26+T29+T30+T31+T33+T34+T35</f>
        <v/>
      </c>
      <c r="U37" s="8">
        <f>U22+U23+U24+U25+U26+U29+U30+U31+U33+U34+U35</f>
        <v/>
      </c>
      <c r="V37" s="8">
        <f>V22+V23+V24+V25+V26+V29+V30+V31+V33+V34+V35</f>
        <v/>
      </c>
      <c r="W37" s="8">
        <f>W22+W23+W24+W25+W26+W29+W30+W31+W33+W34+W35</f>
        <v/>
      </c>
      <c r="X37" s="8">
        <f>X22+X23+X24+X25+X26+X29+X30+X31+X33+X34+X35</f>
        <v/>
      </c>
      <c r="Y37" s="8">
        <f>Y22+Y23+Y24+Y25+Y26+Y29+Y30+Y31+Y33+Y34+Y35</f>
        <v/>
      </c>
    </row>
    <row r="38">
      <c r="A38" s="9" t="inlineStr">
        <is>
          <t>Прибыль за месяц</t>
        </is>
      </c>
      <c r="B38" s="8">
        <f>B20-B37</f>
        <v/>
      </c>
      <c r="C38" s="8">
        <f>C20-C37</f>
        <v/>
      </c>
      <c r="D38" s="8">
        <f>D20-D37</f>
        <v/>
      </c>
      <c r="E38" s="8">
        <f>E20-E37</f>
        <v/>
      </c>
      <c r="F38" s="8">
        <f>F20-F37</f>
        <v/>
      </c>
      <c r="G38" s="8">
        <f>G20-G37</f>
        <v/>
      </c>
      <c r="H38" s="8">
        <f>H20-H37</f>
        <v/>
      </c>
      <c r="I38" s="8">
        <f>I20-I37</f>
        <v/>
      </c>
      <c r="J38" s="8">
        <f>J20-J37</f>
        <v/>
      </c>
      <c r="K38" s="8">
        <f>K20-K37</f>
        <v/>
      </c>
      <c r="L38" s="8">
        <f>L20-L37</f>
        <v/>
      </c>
      <c r="M38" s="8">
        <f>M20-M37</f>
        <v/>
      </c>
      <c r="N38" s="8">
        <f>N20-N37</f>
        <v/>
      </c>
      <c r="O38" s="8">
        <f>O20-O37</f>
        <v/>
      </c>
      <c r="P38" s="8">
        <f>P20-P37</f>
        <v/>
      </c>
      <c r="Q38" s="8">
        <f>Q20-Q37</f>
        <v/>
      </c>
      <c r="R38" s="8">
        <f>R20-R37</f>
        <v/>
      </c>
      <c r="S38" s="8">
        <f>S20-S37</f>
        <v/>
      </c>
      <c r="T38" s="8">
        <f>T20-T37</f>
        <v/>
      </c>
      <c r="U38" s="8">
        <f>U20-U37</f>
        <v/>
      </c>
      <c r="V38" s="8">
        <f>V20-V37</f>
        <v/>
      </c>
      <c r="W38" s="8">
        <f>W20-W37</f>
        <v/>
      </c>
      <c r="X38" s="8">
        <f>X20-X37</f>
        <v/>
      </c>
      <c r="Y38" s="8">
        <f>Y20-Y37</f>
        <v/>
      </c>
    </row>
    <row r="39">
      <c r="A39" s="9" t="inlineStr">
        <is>
          <t>Накопленный итог</t>
        </is>
      </c>
      <c r="B39" s="8">
        <f>B38</f>
        <v/>
      </c>
      <c r="C39" s="8">
        <f>B39+C38</f>
        <v/>
      </c>
      <c r="D39" s="8">
        <f>C39+D38</f>
        <v/>
      </c>
      <c r="E39" s="8">
        <f>D39+E38</f>
        <v/>
      </c>
      <c r="F39" s="8">
        <f>E39+F38</f>
        <v/>
      </c>
      <c r="G39" s="8">
        <f>F39+G38</f>
        <v/>
      </c>
      <c r="H39" s="8">
        <f>G39+H38</f>
        <v/>
      </c>
      <c r="I39" s="8">
        <f>H39+I38</f>
        <v/>
      </c>
      <c r="J39" s="8">
        <f>I39+J38</f>
        <v/>
      </c>
      <c r="K39" s="8">
        <f>J39+K38</f>
        <v/>
      </c>
      <c r="L39" s="8">
        <f>K39+L38</f>
        <v/>
      </c>
      <c r="M39" s="8">
        <f>L39+M38</f>
        <v/>
      </c>
      <c r="N39" s="8">
        <f>M39+N38</f>
        <v/>
      </c>
      <c r="O39" s="8">
        <f>N39+O38</f>
        <v/>
      </c>
      <c r="P39" s="8">
        <f>O39+P38</f>
        <v/>
      </c>
      <c r="Q39" s="8">
        <f>P39+Q38</f>
        <v/>
      </c>
      <c r="R39" s="8">
        <f>Q39+R38</f>
        <v/>
      </c>
      <c r="S39" s="8">
        <f>R39+S38</f>
        <v/>
      </c>
      <c r="T39" s="8">
        <f>S39+T38</f>
        <v/>
      </c>
      <c r="U39" s="8">
        <f>T39+U38</f>
        <v/>
      </c>
      <c r="V39" s="8">
        <f>U39+V38</f>
        <v/>
      </c>
      <c r="W39" s="8">
        <f>V39+W38</f>
        <v/>
      </c>
      <c r="X39" s="8">
        <f>W39+X38</f>
        <v/>
      </c>
      <c r="Y39" s="8">
        <f>X39+Y38</f>
        <v/>
      </c>
    </row>
    <row r="40">
      <c r="A40" s="4" t="inlineStr">
        <is>
          <t>Месяц прибыльный (1 — да)</t>
        </is>
      </c>
      <c r="B40" s="16">
        <f>IF(B38&gt;=0,1,0)</f>
        <v/>
      </c>
      <c r="C40" s="16">
        <f>IF(C38&gt;=0,1,0)</f>
        <v/>
      </c>
      <c r="D40" s="16">
        <f>IF(D38&gt;=0,1,0)</f>
        <v/>
      </c>
      <c r="E40" s="16">
        <f>IF(E38&gt;=0,1,0)</f>
        <v/>
      </c>
      <c r="F40" s="16">
        <f>IF(F38&gt;=0,1,0)</f>
        <v/>
      </c>
      <c r="G40" s="16">
        <f>IF(G38&gt;=0,1,0)</f>
        <v/>
      </c>
      <c r="H40" s="16">
        <f>IF(H38&gt;=0,1,0)</f>
        <v/>
      </c>
      <c r="I40" s="16">
        <f>IF(I38&gt;=0,1,0)</f>
        <v/>
      </c>
      <c r="J40" s="16">
        <f>IF(J38&gt;=0,1,0)</f>
        <v/>
      </c>
      <c r="K40" s="16">
        <f>IF(K38&gt;=0,1,0)</f>
        <v/>
      </c>
      <c r="L40" s="16">
        <f>IF(L38&gt;=0,1,0)</f>
        <v/>
      </c>
      <c r="M40" s="16">
        <f>IF(M38&gt;=0,1,0)</f>
        <v/>
      </c>
      <c r="N40" s="16">
        <f>IF(N38&gt;=0,1,0)</f>
        <v/>
      </c>
      <c r="O40" s="16">
        <f>IF(O38&gt;=0,1,0)</f>
        <v/>
      </c>
      <c r="P40" s="16">
        <f>IF(P38&gt;=0,1,0)</f>
        <v/>
      </c>
      <c r="Q40" s="16">
        <f>IF(Q38&gt;=0,1,0)</f>
        <v/>
      </c>
      <c r="R40" s="16">
        <f>IF(R38&gt;=0,1,0)</f>
        <v/>
      </c>
      <c r="S40" s="16">
        <f>IF(S38&gt;=0,1,0)</f>
        <v/>
      </c>
      <c r="T40" s="16">
        <f>IF(T38&gt;=0,1,0)</f>
        <v/>
      </c>
      <c r="U40" s="16">
        <f>IF(U38&gt;=0,1,0)</f>
        <v/>
      </c>
      <c r="V40" s="16">
        <f>IF(V38&gt;=0,1,0)</f>
        <v/>
      </c>
      <c r="W40" s="16">
        <f>IF(W38&gt;=0,1,0)</f>
        <v/>
      </c>
      <c r="X40" s="16">
        <f>IF(X38&gt;=0,1,0)</f>
        <v/>
      </c>
      <c r="Y40" s="16">
        <f>IF(Y38&gt;=0,1,0)</f>
        <v/>
      </c>
    </row>
    <row r="41">
      <c r="A41" s="4" t="inlineStr">
        <is>
          <t>Вложения возвращены (1 — да)</t>
        </is>
      </c>
      <c r="B41" s="16">
        <f>IF(B39&gt;=0,1,0)</f>
        <v/>
      </c>
      <c r="C41" s="16">
        <f>IF(C39&gt;=0,1,0)</f>
        <v/>
      </c>
      <c r="D41" s="16">
        <f>IF(D39&gt;=0,1,0)</f>
        <v/>
      </c>
      <c r="E41" s="16">
        <f>IF(E39&gt;=0,1,0)</f>
        <v/>
      </c>
      <c r="F41" s="16">
        <f>IF(F39&gt;=0,1,0)</f>
        <v/>
      </c>
      <c r="G41" s="16">
        <f>IF(G39&gt;=0,1,0)</f>
        <v/>
      </c>
      <c r="H41" s="16">
        <f>IF(H39&gt;=0,1,0)</f>
        <v/>
      </c>
      <c r="I41" s="16">
        <f>IF(I39&gt;=0,1,0)</f>
        <v/>
      </c>
      <c r="J41" s="16">
        <f>IF(J39&gt;=0,1,0)</f>
        <v/>
      </c>
      <c r="K41" s="16">
        <f>IF(K39&gt;=0,1,0)</f>
        <v/>
      </c>
      <c r="L41" s="16">
        <f>IF(L39&gt;=0,1,0)</f>
        <v/>
      </c>
      <c r="M41" s="16">
        <f>IF(M39&gt;=0,1,0)</f>
        <v/>
      </c>
      <c r="N41" s="16">
        <f>IF(N39&gt;=0,1,0)</f>
        <v/>
      </c>
      <c r="O41" s="16">
        <f>IF(O39&gt;=0,1,0)</f>
        <v/>
      </c>
      <c r="P41" s="16">
        <f>IF(P39&gt;=0,1,0)</f>
        <v/>
      </c>
      <c r="Q41" s="16">
        <f>IF(Q39&gt;=0,1,0)</f>
        <v/>
      </c>
      <c r="R41" s="16">
        <f>IF(R39&gt;=0,1,0)</f>
        <v/>
      </c>
      <c r="S41" s="16">
        <f>IF(S39&gt;=0,1,0)</f>
        <v/>
      </c>
      <c r="T41" s="16">
        <f>IF(T39&gt;=0,1,0)</f>
        <v/>
      </c>
      <c r="U41" s="16">
        <f>IF(U39&gt;=0,1,0)</f>
        <v/>
      </c>
      <c r="V41" s="16">
        <f>IF(V39&gt;=0,1,0)</f>
        <v/>
      </c>
      <c r="W41" s="16">
        <f>IF(W39&gt;=0,1,0)</f>
        <v/>
      </c>
      <c r="X41" s="16">
        <f>IF(X39&gt;=0,1,0)</f>
        <v/>
      </c>
      <c r="Y41" s="16">
        <f>IF(Y39&gt;=0,1,0)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yaSEO — сценарий «средний», 24 месяцев, ₽</t>
        </is>
      </c>
    </row>
    <row r="3">
      <c r="A3" s="3" t="inlineStr">
        <is>
          <t>Месяц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4">
      <c r="A4" s="9" t="inlineStr">
        <is>
          <t>Поток</t>
        </is>
      </c>
    </row>
    <row r="5">
      <c r="A5" s="4" t="inlineStr">
        <is>
          <t>Посетители бесплатных каналов</t>
        </is>
      </c>
      <c r="B5" s="5">
        <f>'Параметры'!$C$39</f>
        <v/>
      </c>
      <c r="C5" s="5">
        <f>B5*(1+'Параметры'!$C$40)</f>
        <v/>
      </c>
      <c r="D5" s="5">
        <f>C5*(1+'Параметры'!$C$40)</f>
        <v/>
      </c>
      <c r="E5" s="5">
        <f>D5*(1+'Параметры'!$C$40)</f>
        <v/>
      </c>
      <c r="F5" s="5">
        <f>E5*(1+'Параметры'!$C$40)</f>
        <v/>
      </c>
      <c r="G5" s="5">
        <f>F5*(1+'Параметры'!$C$40)</f>
        <v/>
      </c>
      <c r="H5" s="5">
        <f>G5*(1+'Параметры'!$C$40)</f>
        <v/>
      </c>
      <c r="I5" s="5">
        <f>H5*(1+'Параметры'!$C$40)</f>
        <v/>
      </c>
      <c r="J5" s="5">
        <f>I5*(1+'Параметры'!$C$40)</f>
        <v/>
      </c>
      <c r="K5" s="5">
        <f>J5*(1+'Параметры'!$C$40)</f>
        <v/>
      </c>
      <c r="L5" s="5">
        <f>K5*(1+'Параметры'!$C$40)</f>
        <v/>
      </c>
      <c r="M5" s="5">
        <f>L5*(1+'Параметры'!$C$40)</f>
        <v/>
      </c>
      <c r="N5" s="5">
        <f>M5*(1+'Параметры'!$C$40)</f>
        <v/>
      </c>
      <c r="O5" s="5">
        <f>N5*(1+'Параметры'!$C$40)</f>
        <v/>
      </c>
      <c r="P5" s="5">
        <f>O5*(1+'Параметры'!$C$40)</f>
        <v/>
      </c>
      <c r="Q5" s="5">
        <f>P5*(1+'Параметры'!$C$40)</f>
        <v/>
      </c>
      <c r="R5" s="5">
        <f>Q5*(1+'Параметры'!$C$40)</f>
        <v/>
      </c>
      <c r="S5" s="5">
        <f>R5*(1+'Параметры'!$C$40)</f>
        <v/>
      </c>
      <c r="T5" s="5">
        <f>S5*(1+'Параметры'!$C$40)</f>
        <v/>
      </c>
      <c r="U5" s="5">
        <f>T5*(1+'Параметры'!$C$40)</f>
        <v/>
      </c>
      <c r="V5" s="5">
        <f>U5*(1+'Параметры'!$C$40)</f>
        <v/>
      </c>
      <c r="W5" s="5">
        <f>V5*(1+'Параметры'!$C$40)</f>
        <v/>
      </c>
      <c r="X5" s="5">
        <f>W5*(1+'Параметры'!$C$40)</f>
        <v/>
      </c>
      <c r="Y5" s="5">
        <f>X5*(1+'Параметры'!$C$40)</f>
        <v/>
      </c>
    </row>
    <row r="6">
      <c r="A6" s="4" t="inlineStr">
        <is>
          <t>Посетители из рекламы</t>
        </is>
      </c>
      <c r="B6" s="5">
        <f>IF('Параметры'!$C$42&gt;0,'Параметры'!$C$41/'Параметры'!$C$42,0)</f>
        <v/>
      </c>
      <c r="C6" s="5">
        <f>IF('Параметры'!$C$42&gt;0,'Параметры'!$C$41/'Параметры'!$C$42,0)</f>
        <v/>
      </c>
      <c r="D6" s="5">
        <f>IF('Параметры'!$C$42&gt;0,'Параметры'!$C$41/'Параметры'!$C$42,0)</f>
        <v/>
      </c>
      <c r="E6" s="5">
        <f>IF('Параметры'!$C$42&gt;0,'Параметры'!$C$41/'Параметры'!$C$42,0)</f>
        <v/>
      </c>
      <c r="F6" s="5">
        <f>IF('Параметры'!$C$42&gt;0,'Параметры'!$C$41/'Параметры'!$C$42,0)</f>
        <v/>
      </c>
      <c r="G6" s="5">
        <f>IF('Параметры'!$C$42&gt;0,'Параметры'!$C$41/'Параметры'!$C$42,0)</f>
        <v/>
      </c>
      <c r="H6" s="5">
        <f>IF('Параметры'!$C$42&gt;0,'Параметры'!$C$41/'Параметры'!$C$42,0)</f>
        <v/>
      </c>
      <c r="I6" s="5">
        <f>IF('Параметры'!$C$42&gt;0,'Параметры'!$C$41/'Параметры'!$C$42,0)</f>
        <v/>
      </c>
      <c r="J6" s="5">
        <f>IF('Параметры'!$C$42&gt;0,'Параметры'!$C$41/'Параметры'!$C$42,0)</f>
        <v/>
      </c>
      <c r="K6" s="5">
        <f>IF('Параметры'!$C$42&gt;0,'Параметры'!$C$41/'Параметры'!$C$42,0)</f>
        <v/>
      </c>
      <c r="L6" s="5">
        <f>IF('Параметры'!$C$42&gt;0,'Параметры'!$C$41/'Параметры'!$C$42,0)</f>
        <v/>
      </c>
      <c r="M6" s="5">
        <f>IF('Параметры'!$C$42&gt;0,'Параметры'!$C$41/'Параметры'!$C$42,0)</f>
        <v/>
      </c>
      <c r="N6" s="5">
        <f>IF('Параметры'!$C$42&gt;0,'Параметры'!$C$41/'Параметры'!$C$42,0)</f>
        <v/>
      </c>
      <c r="O6" s="5">
        <f>IF('Параметры'!$C$42&gt;0,'Параметры'!$C$41/'Параметры'!$C$42,0)</f>
        <v/>
      </c>
      <c r="P6" s="5">
        <f>IF('Параметры'!$C$42&gt;0,'Параметры'!$C$41/'Параметры'!$C$42,0)</f>
        <v/>
      </c>
      <c r="Q6" s="5">
        <f>IF('Параметры'!$C$42&gt;0,'Параметры'!$C$41/'Параметры'!$C$42,0)</f>
        <v/>
      </c>
      <c r="R6" s="5">
        <f>IF('Параметры'!$C$42&gt;0,'Параметры'!$C$41/'Параметры'!$C$42,0)</f>
        <v/>
      </c>
      <c r="S6" s="5">
        <f>IF('Параметры'!$C$42&gt;0,'Параметры'!$C$41/'Параметры'!$C$42,0)</f>
        <v/>
      </c>
      <c r="T6" s="5">
        <f>IF('Параметры'!$C$42&gt;0,'Параметры'!$C$41/'Параметры'!$C$42,0)</f>
        <v/>
      </c>
      <c r="U6" s="5">
        <f>IF('Параметры'!$C$42&gt;0,'Параметры'!$C$41/'Параметры'!$C$42,0)</f>
        <v/>
      </c>
      <c r="V6" s="5">
        <f>IF('Параметры'!$C$42&gt;0,'Параметры'!$C$41/'Параметры'!$C$42,0)</f>
        <v/>
      </c>
      <c r="W6" s="5">
        <f>IF('Параметры'!$C$42&gt;0,'Параметры'!$C$41/'Параметры'!$C$42,0)</f>
        <v/>
      </c>
      <c r="X6" s="5">
        <f>IF('Параметры'!$C$42&gt;0,'Параметры'!$C$41/'Параметры'!$C$42,0)</f>
        <v/>
      </c>
      <c r="Y6" s="5">
        <f>IF('Параметры'!$C$42&gt;0,'Параметры'!$C$41/'Параметры'!$C$42,0)</f>
        <v/>
      </c>
    </row>
    <row r="7">
      <c r="A7" s="4" t="inlineStr">
        <is>
          <t>Посетители всего</t>
        </is>
      </c>
      <c r="B7" s="16">
        <f>B5+B6</f>
        <v/>
      </c>
      <c r="C7" s="16">
        <f>C5+C6</f>
        <v/>
      </c>
      <c r="D7" s="16">
        <f>D5+D6</f>
        <v/>
      </c>
      <c r="E7" s="16">
        <f>E5+E6</f>
        <v/>
      </c>
      <c r="F7" s="16">
        <f>F5+F6</f>
        <v/>
      </c>
      <c r="G7" s="16">
        <f>G5+G6</f>
        <v/>
      </c>
      <c r="H7" s="16">
        <f>H5+H6</f>
        <v/>
      </c>
      <c r="I7" s="16">
        <f>I5+I6</f>
        <v/>
      </c>
      <c r="J7" s="16">
        <f>J5+J6</f>
        <v/>
      </c>
      <c r="K7" s="16">
        <f>K5+K6</f>
        <v/>
      </c>
      <c r="L7" s="16">
        <f>L5+L6</f>
        <v/>
      </c>
      <c r="M7" s="16">
        <f>M5+M6</f>
        <v/>
      </c>
      <c r="N7" s="16">
        <f>N5+N6</f>
        <v/>
      </c>
      <c r="O7" s="16">
        <f>O5+O6</f>
        <v/>
      </c>
      <c r="P7" s="16">
        <f>P5+P6</f>
        <v/>
      </c>
      <c r="Q7" s="16">
        <f>Q5+Q6</f>
        <v/>
      </c>
      <c r="R7" s="16">
        <f>R5+R6</f>
        <v/>
      </c>
      <c r="S7" s="16">
        <f>S5+S6</f>
        <v/>
      </c>
      <c r="T7" s="16">
        <f>T5+T6</f>
        <v/>
      </c>
      <c r="U7" s="16">
        <f>U5+U6</f>
        <v/>
      </c>
      <c r="V7" s="16">
        <f>V5+V6</f>
        <v/>
      </c>
      <c r="W7" s="16">
        <f>W5+W6</f>
        <v/>
      </c>
      <c r="X7" s="16">
        <f>X5+X6</f>
        <v/>
      </c>
      <c r="Y7" s="16">
        <f>Y5+Y6</f>
        <v/>
      </c>
    </row>
    <row r="8">
      <c r="A8" s="4" t="inlineStr">
        <is>
          <t>Бесплатные проверки (регистрации)</t>
        </is>
      </c>
      <c r="B8" s="5">
        <f>B7*'Параметры'!$C$44</f>
        <v/>
      </c>
      <c r="C8" s="5">
        <f>C7*'Параметры'!$C$44</f>
        <v/>
      </c>
      <c r="D8" s="5">
        <f>D7*'Параметры'!$C$44</f>
        <v/>
      </c>
      <c r="E8" s="5">
        <f>E7*'Параметры'!$C$44</f>
        <v/>
      </c>
      <c r="F8" s="5">
        <f>F7*'Параметры'!$C$44</f>
        <v/>
      </c>
      <c r="G8" s="5">
        <f>G7*'Параметры'!$C$44</f>
        <v/>
      </c>
      <c r="H8" s="5">
        <f>H7*'Параметры'!$C$44</f>
        <v/>
      </c>
      <c r="I8" s="5">
        <f>I7*'Параметры'!$C$44</f>
        <v/>
      </c>
      <c r="J8" s="5">
        <f>J7*'Параметры'!$C$44</f>
        <v/>
      </c>
      <c r="K8" s="5">
        <f>K7*'Параметры'!$C$44</f>
        <v/>
      </c>
      <c r="L8" s="5">
        <f>L7*'Параметры'!$C$44</f>
        <v/>
      </c>
      <c r="M8" s="5">
        <f>M7*'Параметры'!$C$44</f>
        <v/>
      </c>
      <c r="N8" s="5">
        <f>N7*'Параметры'!$C$44</f>
        <v/>
      </c>
      <c r="O8" s="5">
        <f>O7*'Параметры'!$C$44</f>
        <v/>
      </c>
      <c r="P8" s="5">
        <f>P7*'Параметры'!$C$44</f>
        <v/>
      </c>
      <c r="Q8" s="5">
        <f>Q7*'Параметры'!$C$44</f>
        <v/>
      </c>
      <c r="R8" s="5">
        <f>R7*'Параметры'!$C$44</f>
        <v/>
      </c>
      <c r="S8" s="5">
        <f>S7*'Параметры'!$C$44</f>
        <v/>
      </c>
      <c r="T8" s="5">
        <f>T7*'Параметры'!$C$44</f>
        <v/>
      </c>
      <c r="U8" s="5">
        <f>U7*'Параметры'!$C$44</f>
        <v/>
      </c>
      <c r="V8" s="5">
        <f>V7*'Параметры'!$C$44</f>
        <v/>
      </c>
      <c r="W8" s="5">
        <f>W7*'Параметры'!$C$44</f>
        <v/>
      </c>
      <c r="X8" s="5">
        <f>X7*'Параметры'!$C$44</f>
        <v/>
      </c>
      <c r="Y8" s="5">
        <f>Y7*'Параметры'!$C$44</f>
        <v/>
      </c>
    </row>
    <row r="9">
      <c r="A9" s="4" t="inlineStr">
        <is>
          <t>Новые подписчики</t>
        </is>
      </c>
      <c r="B9" s="5">
        <f>B8*'Параметры'!$C$45</f>
        <v/>
      </c>
      <c r="C9" s="5">
        <f>C8*'Параметры'!$C$45</f>
        <v/>
      </c>
      <c r="D9" s="5">
        <f>D8*'Параметры'!$C$45</f>
        <v/>
      </c>
      <c r="E9" s="5">
        <f>E8*'Параметры'!$C$45</f>
        <v/>
      </c>
      <c r="F9" s="5">
        <f>F8*'Параметры'!$C$45</f>
        <v/>
      </c>
      <c r="G9" s="5">
        <f>G8*'Параметры'!$C$45</f>
        <v/>
      </c>
      <c r="H9" s="5">
        <f>H8*'Параметры'!$C$45</f>
        <v/>
      </c>
      <c r="I9" s="5">
        <f>I8*'Параметры'!$C$45</f>
        <v/>
      </c>
      <c r="J9" s="5">
        <f>J8*'Параметры'!$C$45</f>
        <v/>
      </c>
      <c r="K9" s="5">
        <f>K8*'Параметры'!$C$45</f>
        <v/>
      </c>
      <c r="L9" s="5">
        <f>L8*'Параметры'!$C$45</f>
        <v/>
      </c>
      <c r="M9" s="5">
        <f>M8*'Параметры'!$C$45</f>
        <v/>
      </c>
      <c r="N9" s="5">
        <f>N8*'Параметры'!$C$45</f>
        <v/>
      </c>
      <c r="O9" s="5">
        <f>O8*'Параметры'!$C$45</f>
        <v/>
      </c>
      <c r="P9" s="5">
        <f>P8*'Параметры'!$C$45</f>
        <v/>
      </c>
      <c r="Q9" s="5">
        <f>Q8*'Параметры'!$C$45</f>
        <v/>
      </c>
      <c r="R9" s="5">
        <f>R8*'Параметры'!$C$45</f>
        <v/>
      </c>
      <c r="S9" s="5">
        <f>S8*'Параметры'!$C$45</f>
        <v/>
      </c>
      <c r="T9" s="5">
        <f>T8*'Параметры'!$C$45</f>
        <v/>
      </c>
      <c r="U9" s="5">
        <f>U8*'Параметры'!$C$45</f>
        <v/>
      </c>
      <c r="V9" s="5">
        <f>V8*'Параметры'!$C$45</f>
        <v/>
      </c>
      <c r="W9" s="5">
        <f>W8*'Параметры'!$C$45</f>
        <v/>
      </c>
      <c r="X9" s="5">
        <f>X8*'Параметры'!$C$45</f>
        <v/>
      </c>
      <c r="Y9" s="5">
        <f>Y8*'Параметры'!$C$45</f>
        <v/>
      </c>
    </row>
    <row r="10">
      <c r="A10" s="4" t="inlineStr">
        <is>
          <t>Разовые аудиты</t>
        </is>
      </c>
      <c r="B10" s="5">
        <f>B8*'Параметры'!$C$46</f>
        <v/>
      </c>
      <c r="C10" s="5">
        <f>C8*'Параметры'!$C$46</f>
        <v/>
      </c>
      <c r="D10" s="5">
        <f>D8*'Параметры'!$C$46</f>
        <v/>
      </c>
      <c r="E10" s="5">
        <f>E8*'Параметры'!$C$46</f>
        <v/>
      </c>
      <c r="F10" s="5">
        <f>F8*'Параметры'!$C$46</f>
        <v/>
      </c>
      <c r="G10" s="5">
        <f>G8*'Параметры'!$C$46</f>
        <v/>
      </c>
      <c r="H10" s="5">
        <f>H8*'Параметры'!$C$46</f>
        <v/>
      </c>
      <c r="I10" s="5">
        <f>I8*'Параметры'!$C$46</f>
        <v/>
      </c>
      <c r="J10" s="5">
        <f>J8*'Параметры'!$C$46</f>
        <v/>
      </c>
      <c r="K10" s="5">
        <f>K8*'Параметры'!$C$46</f>
        <v/>
      </c>
      <c r="L10" s="5">
        <f>L8*'Параметры'!$C$46</f>
        <v/>
      </c>
      <c r="M10" s="5">
        <f>M8*'Параметры'!$C$46</f>
        <v/>
      </c>
      <c r="N10" s="5">
        <f>N8*'Параметры'!$C$46</f>
        <v/>
      </c>
      <c r="O10" s="5">
        <f>O8*'Параметры'!$C$46</f>
        <v/>
      </c>
      <c r="P10" s="5">
        <f>P8*'Параметры'!$C$46</f>
        <v/>
      </c>
      <c r="Q10" s="5">
        <f>Q8*'Параметры'!$C$46</f>
        <v/>
      </c>
      <c r="R10" s="5">
        <f>R8*'Параметры'!$C$46</f>
        <v/>
      </c>
      <c r="S10" s="5">
        <f>S8*'Параметры'!$C$46</f>
        <v/>
      </c>
      <c r="T10" s="5">
        <f>T8*'Параметры'!$C$46</f>
        <v/>
      </c>
      <c r="U10" s="5">
        <f>U8*'Параметры'!$C$46</f>
        <v/>
      </c>
      <c r="V10" s="5">
        <f>V8*'Параметры'!$C$46</f>
        <v/>
      </c>
      <c r="W10" s="5">
        <f>W8*'Параметры'!$C$46</f>
        <v/>
      </c>
      <c r="X10" s="5">
        <f>X8*'Параметры'!$C$46</f>
        <v/>
      </c>
      <c r="Y10" s="5">
        <f>Y8*'Параметры'!$C$46</f>
        <v/>
      </c>
    </row>
    <row r="11">
      <c r="A11" s="9" t="inlineStr">
        <is>
          <t>Подписчики</t>
        </is>
      </c>
    </row>
    <row r="12">
      <c r="A12" s="4" t="inlineStr">
        <is>
          <t>Ушло подписчиков</t>
        </is>
      </c>
      <c r="B12" s="16">
        <f>0</f>
        <v/>
      </c>
      <c r="C12" s="5">
        <f>B13*'Параметры'!$C$47</f>
        <v/>
      </c>
      <c r="D12" s="5">
        <f>C13*'Параметры'!$C$47</f>
        <v/>
      </c>
      <c r="E12" s="5">
        <f>D13*'Параметры'!$C$47</f>
        <v/>
      </c>
      <c r="F12" s="5">
        <f>E13*'Параметры'!$C$47</f>
        <v/>
      </c>
      <c r="G12" s="5">
        <f>F13*'Параметры'!$C$47</f>
        <v/>
      </c>
      <c r="H12" s="5">
        <f>G13*'Параметры'!$C$47</f>
        <v/>
      </c>
      <c r="I12" s="5">
        <f>H13*'Параметры'!$C$47</f>
        <v/>
      </c>
      <c r="J12" s="5">
        <f>I13*'Параметры'!$C$47</f>
        <v/>
      </c>
      <c r="K12" s="5">
        <f>J13*'Параметры'!$C$47</f>
        <v/>
      </c>
      <c r="L12" s="5">
        <f>K13*'Параметры'!$C$47</f>
        <v/>
      </c>
      <c r="M12" s="5">
        <f>L13*'Параметры'!$C$47</f>
        <v/>
      </c>
      <c r="N12" s="5">
        <f>M13*'Параметры'!$C$47</f>
        <v/>
      </c>
      <c r="O12" s="5">
        <f>N13*'Параметры'!$C$47</f>
        <v/>
      </c>
      <c r="P12" s="5">
        <f>O13*'Параметры'!$C$47</f>
        <v/>
      </c>
      <c r="Q12" s="5">
        <f>P13*'Параметры'!$C$47</f>
        <v/>
      </c>
      <c r="R12" s="5">
        <f>Q13*'Параметры'!$C$47</f>
        <v/>
      </c>
      <c r="S12" s="5">
        <f>R13*'Параметры'!$C$47</f>
        <v/>
      </c>
      <c r="T12" s="5">
        <f>S13*'Параметры'!$C$47</f>
        <v/>
      </c>
      <c r="U12" s="5">
        <f>T13*'Параметры'!$C$47</f>
        <v/>
      </c>
      <c r="V12" s="5">
        <f>U13*'Параметры'!$C$47</f>
        <v/>
      </c>
      <c r="W12" s="5">
        <f>V13*'Параметры'!$C$47</f>
        <v/>
      </c>
      <c r="X12" s="5">
        <f>W13*'Параметры'!$C$47</f>
        <v/>
      </c>
      <c r="Y12" s="5">
        <f>X13*'Параметры'!$C$47</f>
        <v/>
      </c>
    </row>
    <row r="13">
      <c r="A13" s="9" t="inlineStr">
        <is>
          <t>Активные подписчики</t>
        </is>
      </c>
      <c r="B13" s="16">
        <f>B9</f>
        <v/>
      </c>
      <c r="C13" s="16">
        <f>B13+C9-C12</f>
        <v/>
      </c>
      <c r="D13" s="16">
        <f>C13+D9-D12</f>
        <v/>
      </c>
      <c r="E13" s="16">
        <f>D13+E9-E12</f>
        <v/>
      </c>
      <c r="F13" s="16">
        <f>E13+F9-F12</f>
        <v/>
      </c>
      <c r="G13" s="16">
        <f>F13+G9-G12</f>
        <v/>
      </c>
      <c r="H13" s="16">
        <f>G13+H9-H12</f>
        <v/>
      </c>
      <c r="I13" s="16">
        <f>H13+I9-I12</f>
        <v/>
      </c>
      <c r="J13" s="16">
        <f>I13+J9-J12</f>
        <v/>
      </c>
      <c r="K13" s="16">
        <f>J13+K9-K12</f>
        <v/>
      </c>
      <c r="L13" s="16">
        <f>K13+L9-L12</f>
        <v/>
      </c>
      <c r="M13" s="16">
        <f>L13+M9-M12</f>
        <v/>
      </c>
      <c r="N13" s="16">
        <f>M13+N9-N12</f>
        <v/>
      </c>
      <c r="O13" s="16">
        <f>N13+O9-O12</f>
        <v/>
      </c>
      <c r="P13" s="16">
        <f>O13+P9-P12</f>
        <v/>
      </c>
      <c r="Q13" s="16">
        <f>P13+Q9-Q12</f>
        <v/>
      </c>
      <c r="R13" s="16">
        <f>Q13+R9-R12</f>
        <v/>
      </c>
      <c r="S13" s="16">
        <f>R13+S9-S12</f>
        <v/>
      </c>
      <c r="T13" s="16">
        <f>S13+T9-T12</f>
        <v/>
      </c>
      <c r="U13" s="16">
        <f>T13+U9-U12</f>
        <v/>
      </c>
      <c r="V13" s="16">
        <f>U13+V9-V12</f>
        <v/>
      </c>
      <c r="W13" s="16">
        <f>V13+W9-W12</f>
        <v/>
      </c>
      <c r="X13" s="16">
        <f>W13+X9-X12</f>
        <v/>
      </c>
      <c r="Y13" s="16">
        <f>X13+Y9-Y12</f>
        <v/>
      </c>
    </row>
    <row r="14">
      <c r="A14" s="4" t="inlineStr">
        <is>
          <t xml:space="preserve">  из них Старт</t>
        </is>
      </c>
      <c r="B14" s="5">
        <f>B13*'Параметры'!$C$49</f>
        <v/>
      </c>
      <c r="C14" s="5">
        <f>C13*'Параметры'!$C$49</f>
        <v/>
      </c>
      <c r="D14" s="5">
        <f>D13*'Параметры'!$C$49</f>
        <v/>
      </c>
      <c r="E14" s="5">
        <f>E13*'Параметры'!$C$49</f>
        <v/>
      </c>
      <c r="F14" s="5">
        <f>F13*'Параметры'!$C$49</f>
        <v/>
      </c>
      <c r="G14" s="5">
        <f>G13*'Параметры'!$C$49</f>
        <v/>
      </c>
      <c r="H14" s="5">
        <f>H13*'Параметры'!$C$49</f>
        <v/>
      </c>
      <c r="I14" s="5">
        <f>I13*'Параметры'!$C$49</f>
        <v/>
      </c>
      <c r="J14" s="5">
        <f>J13*'Параметры'!$C$49</f>
        <v/>
      </c>
      <c r="K14" s="5">
        <f>K13*'Параметры'!$C$49</f>
        <v/>
      </c>
      <c r="L14" s="5">
        <f>L13*'Параметры'!$C$49</f>
        <v/>
      </c>
      <c r="M14" s="5">
        <f>M13*'Параметры'!$C$49</f>
        <v/>
      </c>
      <c r="N14" s="5">
        <f>N13*'Параметры'!$C$49</f>
        <v/>
      </c>
      <c r="O14" s="5">
        <f>O13*'Параметры'!$C$49</f>
        <v/>
      </c>
      <c r="P14" s="5">
        <f>P13*'Параметры'!$C$49</f>
        <v/>
      </c>
      <c r="Q14" s="5">
        <f>Q13*'Параметры'!$C$49</f>
        <v/>
      </c>
      <c r="R14" s="5">
        <f>R13*'Параметры'!$C$49</f>
        <v/>
      </c>
      <c r="S14" s="5">
        <f>S13*'Параметры'!$C$49</f>
        <v/>
      </c>
      <c r="T14" s="5">
        <f>T13*'Параметры'!$C$49</f>
        <v/>
      </c>
      <c r="U14" s="5">
        <f>U13*'Параметры'!$C$49</f>
        <v/>
      </c>
      <c r="V14" s="5">
        <f>V13*'Параметры'!$C$49</f>
        <v/>
      </c>
      <c r="W14" s="5">
        <f>W13*'Параметры'!$C$49</f>
        <v/>
      </c>
      <c r="X14" s="5">
        <f>X13*'Параметры'!$C$49</f>
        <v/>
      </c>
      <c r="Y14" s="5">
        <f>Y13*'Параметры'!$C$49</f>
        <v/>
      </c>
    </row>
    <row r="15">
      <c r="A15" s="4" t="inlineStr">
        <is>
          <t xml:space="preserve">  из них Про</t>
        </is>
      </c>
      <c r="B15" s="5">
        <f>B13*'Параметры'!$C$50</f>
        <v/>
      </c>
      <c r="C15" s="5">
        <f>C13*'Параметры'!$C$50</f>
        <v/>
      </c>
      <c r="D15" s="5">
        <f>D13*'Параметры'!$C$50</f>
        <v/>
      </c>
      <c r="E15" s="5">
        <f>E13*'Параметры'!$C$50</f>
        <v/>
      </c>
      <c r="F15" s="5">
        <f>F13*'Параметры'!$C$50</f>
        <v/>
      </c>
      <c r="G15" s="5">
        <f>G13*'Параметры'!$C$50</f>
        <v/>
      </c>
      <c r="H15" s="5">
        <f>H13*'Параметры'!$C$50</f>
        <v/>
      </c>
      <c r="I15" s="5">
        <f>I13*'Параметры'!$C$50</f>
        <v/>
      </c>
      <c r="J15" s="5">
        <f>J13*'Параметры'!$C$50</f>
        <v/>
      </c>
      <c r="K15" s="5">
        <f>K13*'Параметры'!$C$50</f>
        <v/>
      </c>
      <c r="L15" s="5">
        <f>L13*'Параметры'!$C$50</f>
        <v/>
      </c>
      <c r="M15" s="5">
        <f>M13*'Параметры'!$C$50</f>
        <v/>
      </c>
      <c r="N15" s="5">
        <f>N13*'Параметры'!$C$50</f>
        <v/>
      </c>
      <c r="O15" s="5">
        <f>O13*'Параметры'!$C$50</f>
        <v/>
      </c>
      <c r="P15" s="5">
        <f>P13*'Параметры'!$C$50</f>
        <v/>
      </c>
      <c r="Q15" s="5">
        <f>Q13*'Параметры'!$C$50</f>
        <v/>
      </c>
      <c r="R15" s="5">
        <f>R13*'Параметры'!$C$50</f>
        <v/>
      </c>
      <c r="S15" s="5">
        <f>S13*'Параметры'!$C$50</f>
        <v/>
      </c>
      <c r="T15" s="5">
        <f>T13*'Параметры'!$C$50</f>
        <v/>
      </c>
      <c r="U15" s="5">
        <f>U13*'Параметры'!$C$50</f>
        <v/>
      </c>
      <c r="V15" s="5">
        <f>V13*'Параметры'!$C$50</f>
        <v/>
      </c>
      <c r="W15" s="5">
        <f>W13*'Параметры'!$C$50</f>
        <v/>
      </c>
      <c r="X15" s="5">
        <f>X13*'Параметры'!$C$50</f>
        <v/>
      </c>
      <c r="Y15" s="5">
        <f>Y13*'Параметры'!$C$50</f>
        <v/>
      </c>
    </row>
    <row r="16">
      <c r="A16" s="4" t="inlineStr">
        <is>
          <t xml:space="preserve">  из них Ультра</t>
        </is>
      </c>
      <c r="B16" s="5">
        <f>B13*'Параметры'!$C$51</f>
        <v/>
      </c>
      <c r="C16" s="5">
        <f>C13*'Параметры'!$C$51</f>
        <v/>
      </c>
      <c r="D16" s="5">
        <f>D13*'Параметры'!$C$51</f>
        <v/>
      </c>
      <c r="E16" s="5">
        <f>E13*'Параметры'!$C$51</f>
        <v/>
      </c>
      <c r="F16" s="5">
        <f>F13*'Параметры'!$C$51</f>
        <v/>
      </c>
      <c r="G16" s="5">
        <f>G13*'Параметры'!$C$51</f>
        <v/>
      </c>
      <c r="H16" s="5">
        <f>H13*'Параметры'!$C$51</f>
        <v/>
      </c>
      <c r="I16" s="5">
        <f>I13*'Параметры'!$C$51</f>
        <v/>
      </c>
      <c r="J16" s="5">
        <f>J13*'Параметры'!$C$51</f>
        <v/>
      </c>
      <c r="K16" s="5">
        <f>K13*'Параметры'!$C$51</f>
        <v/>
      </c>
      <c r="L16" s="5">
        <f>L13*'Параметры'!$C$51</f>
        <v/>
      </c>
      <c r="M16" s="5">
        <f>M13*'Параметры'!$C$51</f>
        <v/>
      </c>
      <c r="N16" s="5">
        <f>N13*'Параметры'!$C$51</f>
        <v/>
      </c>
      <c r="O16" s="5">
        <f>O13*'Параметры'!$C$51</f>
        <v/>
      </c>
      <c r="P16" s="5">
        <f>P13*'Параметры'!$C$51</f>
        <v/>
      </c>
      <c r="Q16" s="5">
        <f>Q13*'Параметры'!$C$51</f>
        <v/>
      </c>
      <c r="R16" s="5">
        <f>R13*'Параметры'!$C$51</f>
        <v/>
      </c>
      <c r="S16" s="5">
        <f>S13*'Параметры'!$C$51</f>
        <v/>
      </c>
      <c r="T16" s="5">
        <f>T13*'Параметры'!$C$51</f>
        <v/>
      </c>
      <c r="U16" s="5">
        <f>U13*'Параметры'!$C$51</f>
        <v/>
      </c>
      <c r="V16" s="5">
        <f>V13*'Параметры'!$C$51</f>
        <v/>
      </c>
      <c r="W16" s="5">
        <f>W13*'Параметры'!$C$51</f>
        <v/>
      </c>
      <c r="X16" s="5">
        <f>X13*'Параметры'!$C$51</f>
        <v/>
      </c>
      <c r="Y16" s="5">
        <f>Y13*'Параметры'!$C$51</f>
        <v/>
      </c>
    </row>
    <row r="17">
      <c r="A17" s="9" t="inlineStr">
        <is>
          <t>Выручка</t>
        </is>
      </c>
    </row>
    <row r="18">
      <c r="A18" s="4" t="inlineStr">
        <is>
          <t>Подписки</t>
        </is>
      </c>
      <c r="B18" s="6">
        <f>B14*'Параметры'!$C$6+B15*'Параметры'!$C$7+B16*'Параметры'!$C$8</f>
        <v/>
      </c>
      <c r="C18" s="6">
        <f>C14*'Параметры'!$C$6+C15*'Параметры'!$C$7+C16*'Параметры'!$C$8</f>
        <v/>
      </c>
      <c r="D18" s="6">
        <f>D14*'Параметры'!$C$6+D15*'Параметры'!$C$7+D16*'Параметры'!$C$8</f>
        <v/>
      </c>
      <c r="E18" s="6">
        <f>E14*'Параметры'!$C$6+E15*'Параметры'!$C$7+E16*'Параметры'!$C$8</f>
        <v/>
      </c>
      <c r="F18" s="6">
        <f>F14*'Параметры'!$C$6+F15*'Параметры'!$C$7+F16*'Параметры'!$C$8</f>
        <v/>
      </c>
      <c r="G18" s="6">
        <f>G14*'Параметры'!$C$6+G15*'Параметры'!$C$7+G16*'Параметры'!$C$8</f>
        <v/>
      </c>
      <c r="H18" s="6">
        <f>H14*'Параметры'!$C$6+H15*'Параметры'!$C$7+H16*'Параметры'!$C$8</f>
        <v/>
      </c>
      <c r="I18" s="6">
        <f>I14*'Параметры'!$C$6+I15*'Параметры'!$C$7+I16*'Параметры'!$C$8</f>
        <v/>
      </c>
      <c r="J18" s="6">
        <f>J14*'Параметры'!$C$6+J15*'Параметры'!$C$7+J16*'Параметры'!$C$8</f>
        <v/>
      </c>
      <c r="K18" s="6">
        <f>K14*'Параметры'!$C$6+K15*'Параметры'!$C$7+K16*'Параметры'!$C$8</f>
        <v/>
      </c>
      <c r="L18" s="6">
        <f>L14*'Параметры'!$C$6+L15*'Параметры'!$C$7+L16*'Параметры'!$C$8</f>
        <v/>
      </c>
      <c r="M18" s="6">
        <f>M14*'Параметры'!$C$6+M15*'Параметры'!$C$7+M16*'Параметры'!$C$8</f>
        <v/>
      </c>
      <c r="N18" s="6">
        <f>N14*'Параметры'!$C$6+N15*'Параметры'!$C$7+N16*'Параметры'!$C$8</f>
        <v/>
      </c>
      <c r="O18" s="6">
        <f>O14*'Параметры'!$C$6+O15*'Параметры'!$C$7+O16*'Параметры'!$C$8</f>
        <v/>
      </c>
      <c r="P18" s="6">
        <f>P14*'Параметры'!$C$6+P15*'Параметры'!$C$7+P16*'Параметры'!$C$8</f>
        <v/>
      </c>
      <c r="Q18" s="6">
        <f>Q14*'Параметры'!$C$6+Q15*'Параметры'!$C$7+Q16*'Параметры'!$C$8</f>
        <v/>
      </c>
      <c r="R18" s="6">
        <f>R14*'Параметры'!$C$6+R15*'Параметры'!$C$7+R16*'Параметры'!$C$8</f>
        <v/>
      </c>
      <c r="S18" s="6">
        <f>S14*'Параметры'!$C$6+S15*'Параметры'!$C$7+S16*'Параметры'!$C$8</f>
        <v/>
      </c>
      <c r="T18" s="6">
        <f>T14*'Параметры'!$C$6+T15*'Параметры'!$C$7+T16*'Параметры'!$C$8</f>
        <v/>
      </c>
      <c r="U18" s="6">
        <f>U14*'Параметры'!$C$6+U15*'Параметры'!$C$7+U16*'Параметры'!$C$8</f>
        <v/>
      </c>
      <c r="V18" s="6">
        <f>V14*'Параметры'!$C$6+V15*'Параметры'!$C$7+V16*'Параметры'!$C$8</f>
        <v/>
      </c>
      <c r="W18" s="6">
        <f>W14*'Параметры'!$C$6+W15*'Параметры'!$C$7+W16*'Параметры'!$C$8</f>
        <v/>
      </c>
      <c r="X18" s="6">
        <f>X14*'Параметры'!$C$6+X15*'Параметры'!$C$7+X16*'Параметры'!$C$8</f>
        <v/>
      </c>
      <c r="Y18" s="6">
        <f>Y14*'Параметры'!$C$6+Y15*'Параметры'!$C$7+Y16*'Параметры'!$C$8</f>
        <v/>
      </c>
    </row>
    <row r="19">
      <c r="A19" s="4" t="inlineStr">
        <is>
          <t>Разовые аудиты</t>
        </is>
      </c>
      <c r="B19" s="6">
        <f>B10*'Параметры'!$C$9</f>
        <v/>
      </c>
      <c r="C19" s="6">
        <f>C10*'Параметры'!$C$9</f>
        <v/>
      </c>
      <c r="D19" s="6">
        <f>D10*'Параметры'!$C$9</f>
        <v/>
      </c>
      <c r="E19" s="6">
        <f>E10*'Параметры'!$C$9</f>
        <v/>
      </c>
      <c r="F19" s="6">
        <f>F10*'Параметры'!$C$9</f>
        <v/>
      </c>
      <c r="G19" s="6">
        <f>G10*'Параметры'!$C$9</f>
        <v/>
      </c>
      <c r="H19" s="6">
        <f>H10*'Параметры'!$C$9</f>
        <v/>
      </c>
      <c r="I19" s="6">
        <f>I10*'Параметры'!$C$9</f>
        <v/>
      </c>
      <c r="J19" s="6">
        <f>J10*'Параметры'!$C$9</f>
        <v/>
      </c>
      <c r="K19" s="6">
        <f>K10*'Параметры'!$C$9</f>
        <v/>
      </c>
      <c r="L19" s="6">
        <f>L10*'Параметры'!$C$9</f>
        <v/>
      </c>
      <c r="M19" s="6">
        <f>M10*'Параметры'!$C$9</f>
        <v/>
      </c>
      <c r="N19" s="6">
        <f>N10*'Параметры'!$C$9</f>
        <v/>
      </c>
      <c r="O19" s="6">
        <f>O10*'Параметры'!$C$9</f>
        <v/>
      </c>
      <c r="P19" s="6">
        <f>P10*'Параметры'!$C$9</f>
        <v/>
      </c>
      <c r="Q19" s="6">
        <f>Q10*'Параметры'!$C$9</f>
        <v/>
      </c>
      <c r="R19" s="6">
        <f>R10*'Параметры'!$C$9</f>
        <v/>
      </c>
      <c r="S19" s="6">
        <f>S10*'Параметры'!$C$9</f>
        <v/>
      </c>
      <c r="T19" s="6">
        <f>T10*'Параметры'!$C$9</f>
        <v/>
      </c>
      <c r="U19" s="6">
        <f>U10*'Параметры'!$C$9</f>
        <v/>
      </c>
      <c r="V19" s="6">
        <f>V10*'Параметры'!$C$9</f>
        <v/>
      </c>
      <c r="W19" s="6">
        <f>W10*'Параметры'!$C$9</f>
        <v/>
      </c>
      <c r="X19" s="6">
        <f>X10*'Параметры'!$C$9</f>
        <v/>
      </c>
      <c r="Y19" s="6">
        <f>Y10*'Параметры'!$C$9</f>
        <v/>
      </c>
    </row>
    <row r="20">
      <c r="A20" s="9" t="inlineStr">
        <is>
          <t>Выручка всего</t>
        </is>
      </c>
      <c r="B20" s="8">
        <f>B18+B19</f>
        <v/>
      </c>
      <c r="C20" s="8">
        <f>C18+C19</f>
        <v/>
      </c>
      <c r="D20" s="8">
        <f>D18+D19</f>
        <v/>
      </c>
      <c r="E20" s="8">
        <f>E18+E19</f>
        <v/>
      </c>
      <c r="F20" s="8">
        <f>F18+F19</f>
        <v/>
      </c>
      <c r="G20" s="8">
        <f>G18+G19</f>
        <v/>
      </c>
      <c r="H20" s="8">
        <f>H18+H19</f>
        <v/>
      </c>
      <c r="I20" s="8">
        <f>I18+I19</f>
        <v/>
      </c>
      <c r="J20" s="8">
        <f>J18+J19</f>
        <v/>
      </c>
      <c r="K20" s="8">
        <f>K18+K19</f>
        <v/>
      </c>
      <c r="L20" s="8">
        <f>L18+L19</f>
        <v/>
      </c>
      <c r="M20" s="8">
        <f>M18+M19</f>
        <v/>
      </c>
      <c r="N20" s="8">
        <f>N18+N19</f>
        <v/>
      </c>
      <c r="O20" s="8">
        <f>O18+O19</f>
        <v/>
      </c>
      <c r="P20" s="8">
        <f>P18+P19</f>
        <v/>
      </c>
      <c r="Q20" s="8">
        <f>Q18+Q19</f>
        <v/>
      </c>
      <c r="R20" s="8">
        <f>R18+R19</f>
        <v/>
      </c>
      <c r="S20" s="8">
        <f>S18+S19</f>
        <v/>
      </c>
      <c r="T20" s="8">
        <f>T18+T19</f>
        <v/>
      </c>
      <c r="U20" s="8">
        <f>U18+U19</f>
        <v/>
      </c>
      <c r="V20" s="8">
        <f>V18+V19</f>
        <v/>
      </c>
      <c r="W20" s="8">
        <f>W18+W19</f>
        <v/>
      </c>
      <c r="X20" s="8">
        <f>X18+X19</f>
        <v/>
      </c>
      <c r="Y20" s="8">
        <f>Y18+Y19</f>
        <v/>
      </c>
    </row>
    <row r="21">
      <c r="A21" s="9" t="inlineStr">
        <is>
          <t>Переменные расходы</t>
        </is>
      </c>
    </row>
    <row r="22">
      <c r="A22" s="4" t="inlineStr">
        <is>
          <t>API Яндекса: подписчики</t>
        </is>
      </c>
      <c r="B22" s="6">
        <f>(B14*'Параметры'!$C$11+B15*'Параметры'!$C$12+B16*'Параметры'!$C$13)*'Параметры'!$C$16</f>
        <v/>
      </c>
      <c r="C22" s="6">
        <f>(C14*'Параметры'!$C$11+C15*'Параметры'!$C$12+C16*'Параметры'!$C$13)*'Параметры'!$C$16</f>
        <v/>
      </c>
      <c r="D22" s="6">
        <f>(D14*'Параметры'!$C$11+D15*'Параметры'!$C$12+D16*'Параметры'!$C$13)*'Параметры'!$C$16</f>
        <v/>
      </c>
      <c r="E22" s="6">
        <f>(E14*'Параметры'!$C$11+E15*'Параметры'!$C$12+E16*'Параметры'!$C$13)*'Параметры'!$C$16</f>
        <v/>
      </c>
      <c r="F22" s="6">
        <f>(F14*'Параметры'!$C$11+F15*'Параметры'!$C$12+F16*'Параметры'!$C$13)*'Параметры'!$C$16</f>
        <v/>
      </c>
      <c r="G22" s="6">
        <f>(G14*'Параметры'!$C$11+G15*'Параметры'!$C$12+G16*'Параметры'!$C$13)*'Параметры'!$C$16</f>
        <v/>
      </c>
      <c r="H22" s="6">
        <f>(H14*'Параметры'!$C$11+H15*'Параметры'!$C$12+H16*'Параметры'!$C$13)*'Параметры'!$C$16</f>
        <v/>
      </c>
      <c r="I22" s="6">
        <f>(I14*'Параметры'!$C$11+I15*'Параметры'!$C$12+I16*'Параметры'!$C$13)*'Параметры'!$C$16</f>
        <v/>
      </c>
      <c r="J22" s="6">
        <f>(J14*'Параметры'!$C$11+J15*'Параметры'!$C$12+J16*'Параметры'!$C$13)*'Параметры'!$C$16</f>
        <v/>
      </c>
      <c r="K22" s="6">
        <f>(K14*'Параметры'!$C$11+K15*'Параметры'!$C$12+K16*'Параметры'!$C$13)*'Параметры'!$C$16</f>
        <v/>
      </c>
      <c r="L22" s="6">
        <f>(L14*'Параметры'!$C$11+L15*'Параметры'!$C$12+L16*'Параметры'!$C$13)*'Параметры'!$C$16</f>
        <v/>
      </c>
      <c r="M22" s="6">
        <f>(M14*'Параметры'!$C$11+M15*'Параметры'!$C$12+M16*'Параметры'!$C$13)*'Параметры'!$C$16</f>
        <v/>
      </c>
      <c r="N22" s="6">
        <f>(N14*'Параметры'!$C$11+N15*'Параметры'!$C$12+N16*'Параметры'!$C$13)*'Параметры'!$C$16</f>
        <v/>
      </c>
      <c r="O22" s="6">
        <f>(O14*'Параметры'!$C$11+O15*'Параметры'!$C$12+O16*'Параметры'!$C$13)*'Параметры'!$C$16</f>
        <v/>
      </c>
      <c r="P22" s="6">
        <f>(P14*'Параметры'!$C$11+P15*'Параметры'!$C$12+P16*'Параметры'!$C$13)*'Параметры'!$C$16</f>
        <v/>
      </c>
      <c r="Q22" s="6">
        <f>(Q14*'Параметры'!$C$11+Q15*'Параметры'!$C$12+Q16*'Параметры'!$C$13)*'Параметры'!$C$16</f>
        <v/>
      </c>
      <c r="R22" s="6">
        <f>(R14*'Параметры'!$C$11+R15*'Параметры'!$C$12+R16*'Параметры'!$C$13)*'Параметры'!$C$16</f>
        <v/>
      </c>
      <c r="S22" s="6">
        <f>(S14*'Параметры'!$C$11+S15*'Параметры'!$C$12+S16*'Параметры'!$C$13)*'Параметры'!$C$16</f>
        <v/>
      </c>
      <c r="T22" s="6">
        <f>(T14*'Параметры'!$C$11+T15*'Параметры'!$C$12+T16*'Параметры'!$C$13)*'Параметры'!$C$16</f>
        <v/>
      </c>
      <c r="U22" s="6">
        <f>(U14*'Параметры'!$C$11+U15*'Параметры'!$C$12+U16*'Параметры'!$C$13)*'Параметры'!$C$16</f>
        <v/>
      </c>
      <c r="V22" s="6">
        <f>(V14*'Параметры'!$C$11+V15*'Параметры'!$C$12+V16*'Параметры'!$C$13)*'Параметры'!$C$16</f>
        <v/>
      </c>
      <c r="W22" s="6">
        <f>(W14*'Параметры'!$C$11+W15*'Параметры'!$C$12+W16*'Параметры'!$C$13)*'Параметры'!$C$16</f>
        <v/>
      </c>
      <c r="X22" s="6">
        <f>(X14*'Параметры'!$C$11+X15*'Параметры'!$C$12+X16*'Параметры'!$C$13)*'Параметры'!$C$16</f>
        <v/>
      </c>
      <c r="Y22" s="6">
        <f>(Y14*'Параметры'!$C$11+Y15*'Параметры'!$C$12+Y16*'Параметры'!$C$13)*'Параметры'!$C$16</f>
        <v/>
      </c>
    </row>
    <row r="23">
      <c r="A23" s="4" t="inlineStr">
        <is>
          <t>API Яндекса: разовые аудиты</t>
        </is>
      </c>
      <c r="B23" s="6">
        <f>B10*'Параметры'!$C$14</f>
        <v/>
      </c>
      <c r="C23" s="6">
        <f>C10*'Параметры'!$C$14</f>
        <v/>
      </c>
      <c r="D23" s="6">
        <f>D10*'Параметры'!$C$14</f>
        <v/>
      </c>
      <c r="E23" s="6">
        <f>E10*'Параметры'!$C$14</f>
        <v/>
      </c>
      <c r="F23" s="6">
        <f>F10*'Параметры'!$C$14</f>
        <v/>
      </c>
      <c r="G23" s="6">
        <f>G10*'Параметры'!$C$14</f>
        <v/>
      </c>
      <c r="H23" s="6">
        <f>H10*'Параметры'!$C$14</f>
        <v/>
      </c>
      <c r="I23" s="6">
        <f>I10*'Параметры'!$C$14</f>
        <v/>
      </c>
      <c r="J23" s="6">
        <f>J10*'Параметры'!$C$14</f>
        <v/>
      </c>
      <c r="K23" s="6">
        <f>K10*'Параметры'!$C$14</f>
        <v/>
      </c>
      <c r="L23" s="6">
        <f>L10*'Параметры'!$C$14</f>
        <v/>
      </c>
      <c r="M23" s="6">
        <f>M10*'Параметры'!$C$14</f>
        <v/>
      </c>
      <c r="N23" s="6">
        <f>N10*'Параметры'!$C$14</f>
        <v/>
      </c>
      <c r="O23" s="6">
        <f>O10*'Параметры'!$C$14</f>
        <v/>
      </c>
      <c r="P23" s="6">
        <f>P10*'Параметры'!$C$14</f>
        <v/>
      </c>
      <c r="Q23" s="6">
        <f>Q10*'Параметры'!$C$14</f>
        <v/>
      </c>
      <c r="R23" s="6">
        <f>R10*'Параметры'!$C$14</f>
        <v/>
      </c>
      <c r="S23" s="6">
        <f>S10*'Параметры'!$C$14</f>
        <v/>
      </c>
      <c r="T23" s="6">
        <f>T10*'Параметры'!$C$14</f>
        <v/>
      </c>
      <c r="U23" s="6">
        <f>U10*'Параметры'!$C$14</f>
        <v/>
      </c>
      <c r="V23" s="6">
        <f>V10*'Параметры'!$C$14</f>
        <v/>
      </c>
      <c r="W23" s="6">
        <f>W10*'Параметры'!$C$14</f>
        <v/>
      </c>
      <c r="X23" s="6">
        <f>X10*'Параметры'!$C$14</f>
        <v/>
      </c>
      <c r="Y23" s="6">
        <f>Y10*'Параметры'!$C$14</f>
        <v/>
      </c>
    </row>
    <row r="24">
      <c r="A24" s="4" t="inlineStr">
        <is>
          <t>API Яндекса: бесплатные проверки</t>
        </is>
      </c>
      <c r="B24" s="6">
        <f>B8*'Параметры'!$C$15</f>
        <v/>
      </c>
      <c r="C24" s="6">
        <f>C8*'Параметры'!$C$15</f>
        <v/>
      </c>
      <c r="D24" s="6">
        <f>D8*'Параметры'!$C$15</f>
        <v/>
      </c>
      <c r="E24" s="6">
        <f>E8*'Параметры'!$C$15</f>
        <v/>
      </c>
      <c r="F24" s="6">
        <f>F8*'Параметры'!$C$15</f>
        <v/>
      </c>
      <c r="G24" s="6">
        <f>G8*'Параметры'!$C$15</f>
        <v/>
      </c>
      <c r="H24" s="6">
        <f>H8*'Параметры'!$C$15</f>
        <v/>
      </c>
      <c r="I24" s="6">
        <f>I8*'Параметры'!$C$15</f>
        <v/>
      </c>
      <c r="J24" s="6">
        <f>J8*'Параметры'!$C$15</f>
        <v/>
      </c>
      <c r="K24" s="6">
        <f>K8*'Параметры'!$C$15</f>
        <v/>
      </c>
      <c r="L24" s="6">
        <f>L8*'Параметры'!$C$15</f>
        <v/>
      </c>
      <c r="M24" s="6">
        <f>M8*'Параметры'!$C$15</f>
        <v/>
      </c>
      <c r="N24" s="6">
        <f>N8*'Параметры'!$C$15</f>
        <v/>
      </c>
      <c r="O24" s="6">
        <f>O8*'Параметры'!$C$15</f>
        <v/>
      </c>
      <c r="P24" s="6">
        <f>P8*'Параметры'!$C$15</f>
        <v/>
      </c>
      <c r="Q24" s="6">
        <f>Q8*'Параметры'!$C$15</f>
        <v/>
      </c>
      <c r="R24" s="6">
        <f>R8*'Параметры'!$C$15</f>
        <v/>
      </c>
      <c r="S24" s="6">
        <f>S8*'Параметры'!$C$15</f>
        <v/>
      </c>
      <c r="T24" s="6">
        <f>T8*'Параметры'!$C$15</f>
        <v/>
      </c>
      <c r="U24" s="6">
        <f>U8*'Параметры'!$C$15</f>
        <v/>
      </c>
      <c r="V24" s="6">
        <f>V8*'Параметры'!$C$15</f>
        <v/>
      </c>
      <c r="W24" s="6">
        <f>W8*'Параметры'!$C$15</f>
        <v/>
      </c>
      <c r="X24" s="6">
        <f>X8*'Параметры'!$C$15</f>
        <v/>
      </c>
      <c r="Y24" s="6">
        <f>Y8*'Параметры'!$C$15</f>
        <v/>
      </c>
    </row>
    <row r="25">
      <c r="A25" s="4" t="inlineStr">
        <is>
          <t>LLM: тексты рекомендаций</t>
        </is>
      </c>
      <c r="B25" s="6">
        <f>(B14*'Параметры'!$C$20+B15*'Параметры'!$C$21+B16*'Параметры'!$C$22)*'Параметры'!$C$16*'Параметры'!$C$18+B10*'Параметры'!$C$18+B8*'Параметры'!$C$19</f>
        <v/>
      </c>
      <c r="C25" s="6">
        <f>(C14*'Параметры'!$C$20+C15*'Параметры'!$C$21+C16*'Параметры'!$C$22)*'Параметры'!$C$16*'Параметры'!$C$18+C10*'Параметры'!$C$18+C8*'Параметры'!$C$19</f>
        <v/>
      </c>
      <c r="D25" s="6">
        <f>(D14*'Параметры'!$C$20+D15*'Параметры'!$C$21+D16*'Параметры'!$C$22)*'Параметры'!$C$16*'Параметры'!$C$18+D10*'Параметры'!$C$18+D8*'Параметры'!$C$19</f>
        <v/>
      </c>
      <c r="E25" s="6">
        <f>(E14*'Параметры'!$C$20+E15*'Параметры'!$C$21+E16*'Параметры'!$C$22)*'Параметры'!$C$16*'Параметры'!$C$18+E10*'Параметры'!$C$18+E8*'Параметры'!$C$19</f>
        <v/>
      </c>
      <c r="F25" s="6">
        <f>(F14*'Параметры'!$C$20+F15*'Параметры'!$C$21+F16*'Параметры'!$C$22)*'Параметры'!$C$16*'Параметры'!$C$18+F10*'Параметры'!$C$18+F8*'Параметры'!$C$19</f>
        <v/>
      </c>
      <c r="G25" s="6">
        <f>(G14*'Параметры'!$C$20+G15*'Параметры'!$C$21+G16*'Параметры'!$C$22)*'Параметры'!$C$16*'Параметры'!$C$18+G10*'Параметры'!$C$18+G8*'Параметры'!$C$19</f>
        <v/>
      </c>
      <c r="H25" s="6">
        <f>(H14*'Параметры'!$C$20+H15*'Параметры'!$C$21+H16*'Параметры'!$C$22)*'Параметры'!$C$16*'Параметры'!$C$18+H10*'Параметры'!$C$18+H8*'Параметры'!$C$19</f>
        <v/>
      </c>
      <c r="I25" s="6">
        <f>(I14*'Параметры'!$C$20+I15*'Параметры'!$C$21+I16*'Параметры'!$C$22)*'Параметры'!$C$16*'Параметры'!$C$18+I10*'Параметры'!$C$18+I8*'Параметры'!$C$19</f>
        <v/>
      </c>
      <c r="J25" s="6">
        <f>(J14*'Параметры'!$C$20+J15*'Параметры'!$C$21+J16*'Параметры'!$C$22)*'Параметры'!$C$16*'Параметры'!$C$18+J10*'Параметры'!$C$18+J8*'Параметры'!$C$19</f>
        <v/>
      </c>
      <c r="K25" s="6">
        <f>(K14*'Параметры'!$C$20+K15*'Параметры'!$C$21+K16*'Параметры'!$C$22)*'Параметры'!$C$16*'Параметры'!$C$18+K10*'Параметры'!$C$18+K8*'Параметры'!$C$19</f>
        <v/>
      </c>
      <c r="L25" s="6">
        <f>(L14*'Параметры'!$C$20+L15*'Параметры'!$C$21+L16*'Параметры'!$C$22)*'Параметры'!$C$16*'Параметры'!$C$18+L10*'Параметры'!$C$18+L8*'Параметры'!$C$19</f>
        <v/>
      </c>
      <c r="M25" s="6">
        <f>(M14*'Параметры'!$C$20+M15*'Параметры'!$C$21+M16*'Параметры'!$C$22)*'Параметры'!$C$16*'Параметры'!$C$18+M10*'Параметры'!$C$18+M8*'Параметры'!$C$19</f>
        <v/>
      </c>
      <c r="N25" s="6">
        <f>(N14*'Параметры'!$C$20+N15*'Параметры'!$C$21+N16*'Параметры'!$C$22)*'Параметры'!$C$16*'Параметры'!$C$18+N10*'Параметры'!$C$18+N8*'Параметры'!$C$19</f>
        <v/>
      </c>
      <c r="O25" s="6">
        <f>(O14*'Параметры'!$C$20+O15*'Параметры'!$C$21+O16*'Параметры'!$C$22)*'Параметры'!$C$16*'Параметры'!$C$18+O10*'Параметры'!$C$18+O8*'Параметры'!$C$19</f>
        <v/>
      </c>
      <c r="P25" s="6">
        <f>(P14*'Параметры'!$C$20+P15*'Параметры'!$C$21+P16*'Параметры'!$C$22)*'Параметры'!$C$16*'Параметры'!$C$18+P10*'Параметры'!$C$18+P8*'Параметры'!$C$19</f>
        <v/>
      </c>
      <c r="Q25" s="6">
        <f>(Q14*'Параметры'!$C$20+Q15*'Параметры'!$C$21+Q16*'Параметры'!$C$22)*'Параметры'!$C$16*'Параметры'!$C$18+Q10*'Параметры'!$C$18+Q8*'Параметры'!$C$19</f>
        <v/>
      </c>
      <c r="R25" s="6">
        <f>(R14*'Параметры'!$C$20+R15*'Параметры'!$C$21+R16*'Параметры'!$C$22)*'Параметры'!$C$16*'Параметры'!$C$18+R10*'Параметры'!$C$18+R8*'Параметры'!$C$19</f>
        <v/>
      </c>
      <c r="S25" s="6">
        <f>(S14*'Параметры'!$C$20+S15*'Параметры'!$C$21+S16*'Параметры'!$C$22)*'Параметры'!$C$16*'Параметры'!$C$18+S10*'Параметры'!$C$18+S8*'Параметры'!$C$19</f>
        <v/>
      </c>
      <c r="T25" s="6">
        <f>(T14*'Параметры'!$C$20+T15*'Параметры'!$C$21+T16*'Параметры'!$C$22)*'Параметры'!$C$16*'Параметры'!$C$18+T10*'Параметры'!$C$18+T8*'Параметры'!$C$19</f>
        <v/>
      </c>
      <c r="U25" s="6">
        <f>(U14*'Параметры'!$C$20+U15*'Параметры'!$C$21+U16*'Параметры'!$C$22)*'Параметры'!$C$16*'Параметры'!$C$18+U10*'Параметры'!$C$18+U8*'Параметры'!$C$19</f>
        <v/>
      </c>
      <c r="V25" s="6">
        <f>(V14*'Параметры'!$C$20+V15*'Параметры'!$C$21+V16*'Параметры'!$C$22)*'Параметры'!$C$16*'Параметры'!$C$18+V10*'Параметры'!$C$18+V8*'Параметры'!$C$19</f>
        <v/>
      </c>
      <c r="W25" s="6">
        <f>(W14*'Параметры'!$C$20+W15*'Параметры'!$C$21+W16*'Параметры'!$C$22)*'Параметры'!$C$16*'Параметры'!$C$18+W10*'Параметры'!$C$18+W8*'Параметры'!$C$19</f>
        <v/>
      </c>
      <c r="X25" s="6">
        <f>(X14*'Параметры'!$C$20+X15*'Параметры'!$C$21+X16*'Параметры'!$C$22)*'Параметры'!$C$16*'Параметры'!$C$18+X10*'Параметры'!$C$18+X8*'Параметры'!$C$19</f>
        <v/>
      </c>
      <c r="Y25" s="6">
        <f>(Y14*'Параметры'!$C$20+Y15*'Параметры'!$C$21+Y16*'Параметры'!$C$22)*'Параметры'!$C$16*'Параметры'!$C$18+Y10*'Параметры'!$C$18+Y8*'Параметры'!$C$19</f>
        <v/>
      </c>
    </row>
    <row r="26">
      <c r="A26" s="4" t="inlineStr">
        <is>
          <t>Эквайринг</t>
        </is>
      </c>
      <c r="B26" s="6">
        <f>B20*'Параметры'!$C$24</f>
        <v/>
      </c>
      <c r="C26" s="6">
        <f>C20*'Параметры'!$C$24</f>
        <v/>
      </c>
      <c r="D26" s="6">
        <f>D20*'Параметры'!$C$24</f>
        <v/>
      </c>
      <c r="E26" s="6">
        <f>E20*'Параметры'!$C$24</f>
        <v/>
      </c>
      <c r="F26" s="6">
        <f>F20*'Параметры'!$C$24</f>
        <v/>
      </c>
      <c r="G26" s="6">
        <f>G20*'Параметры'!$C$24</f>
        <v/>
      </c>
      <c r="H26" s="6">
        <f>H20*'Параметры'!$C$24</f>
        <v/>
      </c>
      <c r="I26" s="6">
        <f>I20*'Параметры'!$C$24</f>
        <v/>
      </c>
      <c r="J26" s="6">
        <f>J20*'Параметры'!$C$24</f>
        <v/>
      </c>
      <c r="K26" s="6">
        <f>K20*'Параметры'!$C$24</f>
        <v/>
      </c>
      <c r="L26" s="6">
        <f>L20*'Параметры'!$C$24</f>
        <v/>
      </c>
      <c r="M26" s="6">
        <f>M20*'Параметры'!$C$24</f>
        <v/>
      </c>
      <c r="N26" s="6">
        <f>N20*'Параметры'!$C$24</f>
        <v/>
      </c>
      <c r="O26" s="6">
        <f>O20*'Параметры'!$C$24</f>
        <v/>
      </c>
      <c r="P26" s="6">
        <f>P20*'Параметры'!$C$24</f>
        <v/>
      </c>
      <c r="Q26" s="6">
        <f>Q20*'Параметры'!$C$24</f>
        <v/>
      </c>
      <c r="R26" s="6">
        <f>R20*'Параметры'!$C$24</f>
        <v/>
      </c>
      <c r="S26" s="6">
        <f>S20*'Параметры'!$C$24</f>
        <v/>
      </c>
      <c r="T26" s="6">
        <f>T20*'Параметры'!$C$24</f>
        <v/>
      </c>
      <c r="U26" s="6">
        <f>U20*'Параметры'!$C$24</f>
        <v/>
      </c>
      <c r="V26" s="6">
        <f>V20*'Параметры'!$C$24</f>
        <v/>
      </c>
      <c r="W26" s="6">
        <f>W20*'Параметры'!$C$24</f>
        <v/>
      </c>
      <c r="X26" s="6">
        <f>X20*'Параметры'!$C$24</f>
        <v/>
      </c>
      <c r="Y26" s="6">
        <f>Y20*'Параметры'!$C$24</f>
        <v/>
      </c>
    </row>
    <row r="27">
      <c r="A27" s="9" t="inlineStr">
        <is>
          <t>Налоги и взносы</t>
        </is>
      </c>
    </row>
    <row r="28">
      <c r="A28" s="4" t="inlineStr">
        <is>
          <t>Выручка за 12 месяцев (для порога НДС)</t>
        </is>
      </c>
      <c r="B28" s="8">
        <f>SUM(B20:B20)</f>
        <v/>
      </c>
      <c r="C28" s="8">
        <f>SUM(B20:C20)</f>
        <v/>
      </c>
      <c r="D28" s="8">
        <f>SUM(B20:D20)</f>
        <v/>
      </c>
      <c r="E28" s="8">
        <f>SUM(B20:E20)</f>
        <v/>
      </c>
      <c r="F28" s="8">
        <f>SUM(B20:F20)</f>
        <v/>
      </c>
      <c r="G28" s="8">
        <f>SUM(B20:G20)</f>
        <v/>
      </c>
      <c r="H28" s="8">
        <f>SUM(B20:H20)</f>
        <v/>
      </c>
      <c r="I28" s="8">
        <f>SUM(B20:I20)</f>
        <v/>
      </c>
      <c r="J28" s="8">
        <f>SUM(B20:J20)</f>
        <v/>
      </c>
      <c r="K28" s="8">
        <f>SUM(B20:K20)</f>
        <v/>
      </c>
      <c r="L28" s="8">
        <f>SUM(B20:L20)</f>
        <v/>
      </c>
      <c r="M28" s="8">
        <f>SUM(B20:M20)</f>
        <v/>
      </c>
      <c r="N28" s="8">
        <f>SUM(C20:N20)</f>
        <v/>
      </c>
      <c r="O28" s="8">
        <f>SUM(D20:O20)</f>
        <v/>
      </c>
      <c r="P28" s="8">
        <f>SUM(E20:P20)</f>
        <v/>
      </c>
      <c r="Q28" s="8">
        <f>SUM(F20:Q20)</f>
        <v/>
      </c>
      <c r="R28" s="8">
        <f>SUM(G20:R20)</f>
        <v/>
      </c>
      <c r="S28" s="8">
        <f>SUM(H20:S20)</f>
        <v/>
      </c>
      <c r="T28" s="8">
        <f>SUM(I20:T20)</f>
        <v/>
      </c>
      <c r="U28" s="8">
        <f>SUM(J20:U20)</f>
        <v/>
      </c>
      <c r="V28" s="8">
        <f>SUM(K20:V20)</f>
        <v/>
      </c>
      <c r="W28" s="8">
        <f>SUM(L20:W20)</f>
        <v/>
      </c>
      <c r="X28" s="8">
        <f>SUM(M20:X20)</f>
        <v/>
      </c>
      <c r="Y28" s="8">
        <f>SUM(N20:Y20)</f>
        <v/>
      </c>
    </row>
    <row r="29">
      <c r="A29" s="4" t="inlineStr">
        <is>
          <t>Налог УСН</t>
        </is>
      </c>
      <c r="B29" s="6">
        <f>B20*'Параметры'!$C$25</f>
        <v/>
      </c>
      <c r="C29" s="6">
        <f>C20*'Параметры'!$C$25</f>
        <v/>
      </c>
      <c r="D29" s="6">
        <f>D20*'Параметры'!$C$25</f>
        <v/>
      </c>
      <c r="E29" s="6">
        <f>E20*'Параметры'!$C$25</f>
        <v/>
      </c>
      <c r="F29" s="6">
        <f>F20*'Параметры'!$C$25</f>
        <v/>
      </c>
      <c r="G29" s="6">
        <f>G20*'Параметры'!$C$25</f>
        <v/>
      </c>
      <c r="H29" s="6">
        <f>H20*'Параметры'!$C$25</f>
        <v/>
      </c>
      <c r="I29" s="6">
        <f>I20*'Параметры'!$C$25</f>
        <v/>
      </c>
      <c r="J29" s="6">
        <f>J20*'Параметры'!$C$25</f>
        <v/>
      </c>
      <c r="K29" s="6">
        <f>K20*'Параметры'!$C$25</f>
        <v/>
      </c>
      <c r="L29" s="6">
        <f>L20*'Параметры'!$C$25</f>
        <v/>
      </c>
      <c r="M29" s="6">
        <f>M20*'Параметры'!$C$25</f>
        <v/>
      </c>
      <c r="N29" s="6">
        <f>N20*'Параметры'!$C$25</f>
        <v/>
      </c>
      <c r="O29" s="6">
        <f>O20*'Параметры'!$C$25</f>
        <v/>
      </c>
      <c r="P29" s="6">
        <f>P20*'Параметры'!$C$25</f>
        <v/>
      </c>
      <c r="Q29" s="6">
        <f>Q20*'Параметры'!$C$25</f>
        <v/>
      </c>
      <c r="R29" s="6">
        <f>R20*'Параметры'!$C$25</f>
        <v/>
      </c>
      <c r="S29" s="6">
        <f>S20*'Параметры'!$C$25</f>
        <v/>
      </c>
      <c r="T29" s="6">
        <f>T20*'Параметры'!$C$25</f>
        <v/>
      </c>
      <c r="U29" s="6">
        <f>U20*'Параметры'!$C$25</f>
        <v/>
      </c>
      <c r="V29" s="6">
        <f>V20*'Параметры'!$C$25</f>
        <v/>
      </c>
      <c r="W29" s="6">
        <f>W20*'Параметры'!$C$25</f>
        <v/>
      </c>
      <c r="X29" s="6">
        <f>X20*'Параметры'!$C$25</f>
        <v/>
      </c>
      <c r="Y29" s="6">
        <f>Y20*'Параметры'!$C$25</f>
        <v/>
      </c>
    </row>
    <row r="30">
      <c r="A30" s="4" t="inlineStr">
        <is>
          <t>НДС</t>
        </is>
      </c>
      <c r="B30" s="6">
        <f>IF(B28&gt;'Параметры'!$C$26,B20*'Параметры'!$C$27,0)</f>
        <v/>
      </c>
      <c r="C30" s="6">
        <f>IF(C28&gt;'Параметры'!$C$26,C20*'Параметры'!$C$27,0)</f>
        <v/>
      </c>
      <c r="D30" s="6">
        <f>IF(D28&gt;'Параметры'!$C$26,D20*'Параметры'!$C$27,0)</f>
        <v/>
      </c>
      <c r="E30" s="6">
        <f>IF(E28&gt;'Параметры'!$C$26,E20*'Параметры'!$C$27,0)</f>
        <v/>
      </c>
      <c r="F30" s="6">
        <f>IF(F28&gt;'Параметры'!$C$26,F20*'Параметры'!$C$27,0)</f>
        <v/>
      </c>
      <c r="G30" s="6">
        <f>IF(G28&gt;'Параметры'!$C$26,G20*'Параметры'!$C$27,0)</f>
        <v/>
      </c>
      <c r="H30" s="6">
        <f>IF(H28&gt;'Параметры'!$C$26,H20*'Параметры'!$C$27,0)</f>
        <v/>
      </c>
      <c r="I30" s="6">
        <f>IF(I28&gt;'Параметры'!$C$26,I20*'Параметры'!$C$27,0)</f>
        <v/>
      </c>
      <c r="J30" s="6">
        <f>IF(J28&gt;'Параметры'!$C$26,J20*'Параметры'!$C$27,0)</f>
        <v/>
      </c>
      <c r="K30" s="6">
        <f>IF(K28&gt;'Параметры'!$C$26,K20*'Параметры'!$C$27,0)</f>
        <v/>
      </c>
      <c r="L30" s="6">
        <f>IF(L28&gt;'Параметры'!$C$26,L20*'Параметры'!$C$27,0)</f>
        <v/>
      </c>
      <c r="M30" s="6">
        <f>IF(M28&gt;'Параметры'!$C$26,M20*'Параметры'!$C$27,0)</f>
        <v/>
      </c>
      <c r="N30" s="6">
        <f>IF(N28&gt;'Параметры'!$C$26,N20*'Параметры'!$C$27,0)</f>
        <v/>
      </c>
      <c r="O30" s="6">
        <f>IF(O28&gt;'Параметры'!$C$26,O20*'Параметры'!$C$27,0)</f>
        <v/>
      </c>
      <c r="P30" s="6">
        <f>IF(P28&gt;'Параметры'!$C$26,P20*'Параметры'!$C$27,0)</f>
        <v/>
      </c>
      <c r="Q30" s="6">
        <f>IF(Q28&gt;'Параметры'!$C$26,Q20*'Параметры'!$C$27,0)</f>
        <v/>
      </c>
      <c r="R30" s="6">
        <f>IF(R28&gt;'Параметры'!$C$26,R20*'Параметры'!$C$27,0)</f>
        <v/>
      </c>
      <c r="S30" s="6">
        <f>IF(S28&gt;'Параметры'!$C$26,S20*'Параметры'!$C$27,0)</f>
        <v/>
      </c>
      <c r="T30" s="6">
        <f>IF(T28&gt;'Параметры'!$C$26,T20*'Параметры'!$C$27,0)</f>
        <v/>
      </c>
      <c r="U30" s="6">
        <f>IF(U28&gt;'Параметры'!$C$26,U20*'Параметры'!$C$27,0)</f>
        <v/>
      </c>
      <c r="V30" s="6">
        <f>IF(V28&gt;'Параметры'!$C$26,V20*'Параметры'!$C$27,0)</f>
        <v/>
      </c>
      <c r="W30" s="6">
        <f>IF(W28&gt;'Параметры'!$C$26,W20*'Параметры'!$C$27,0)</f>
        <v/>
      </c>
      <c r="X30" s="6">
        <f>IF(X28&gt;'Параметры'!$C$26,X20*'Параметры'!$C$27,0)</f>
        <v/>
      </c>
      <c r="Y30" s="6">
        <f>IF(Y28&gt;'Параметры'!$C$26,Y20*'Параметры'!$C$27,0)</f>
        <v/>
      </c>
    </row>
    <row r="31">
      <c r="A31" s="4" t="inlineStr">
        <is>
          <t>Страховые взносы ИП</t>
        </is>
      </c>
      <c r="B31" s="6">
        <f>'Параметры'!$C$28/12+MAX(0,B20-'Параметры'!$C$29/12)*'Параметры'!$C$30</f>
        <v/>
      </c>
      <c r="C31" s="6">
        <f>'Параметры'!$C$28/12+MAX(0,C20-'Параметры'!$C$29/12)*'Параметры'!$C$30</f>
        <v/>
      </c>
      <c r="D31" s="6">
        <f>'Параметры'!$C$28/12+MAX(0,D20-'Параметры'!$C$29/12)*'Параметры'!$C$30</f>
        <v/>
      </c>
      <c r="E31" s="6">
        <f>'Параметры'!$C$28/12+MAX(0,E20-'Параметры'!$C$29/12)*'Параметры'!$C$30</f>
        <v/>
      </c>
      <c r="F31" s="6">
        <f>'Параметры'!$C$28/12+MAX(0,F20-'Параметры'!$C$29/12)*'Параметры'!$C$30</f>
        <v/>
      </c>
      <c r="G31" s="6">
        <f>'Параметры'!$C$28/12+MAX(0,G20-'Параметры'!$C$29/12)*'Параметры'!$C$30</f>
        <v/>
      </c>
      <c r="H31" s="6">
        <f>'Параметры'!$C$28/12+MAX(0,H20-'Параметры'!$C$29/12)*'Параметры'!$C$30</f>
        <v/>
      </c>
      <c r="I31" s="6">
        <f>'Параметры'!$C$28/12+MAX(0,I20-'Параметры'!$C$29/12)*'Параметры'!$C$30</f>
        <v/>
      </c>
      <c r="J31" s="6">
        <f>'Параметры'!$C$28/12+MAX(0,J20-'Параметры'!$C$29/12)*'Параметры'!$C$30</f>
        <v/>
      </c>
      <c r="K31" s="6">
        <f>'Параметры'!$C$28/12+MAX(0,K20-'Параметры'!$C$29/12)*'Параметры'!$C$30</f>
        <v/>
      </c>
      <c r="L31" s="6">
        <f>'Параметры'!$C$28/12+MAX(0,L20-'Параметры'!$C$29/12)*'Параметры'!$C$30</f>
        <v/>
      </c>
      <c r="M31" s="6">
        <f>'Параметры'!$C$28/12+MAX(0,M20-'Параметры'!$C$29/12)*'Параметры'!$C$30</f>
        <v/>
      </c>
      <c r="N31" s="6">
        <f>'Параметры'!$C$28/12+MAX(0,N20-'Параметры'!$C$29/12)*'Параметры'!$C$30</f>
        <v/>
      </c>
      <c r="O31" s="6">
        <f>'Параметры'!$C$28/12+MAX(0,O20-'Параметры'!$C$29/12)*'Параметры'!$C$30</f>
        <v/>
      </c>
      <c r="P31" s="6">
        <f>'Параметры'!$C$28/12+MAX(0,P20-'Параметры'!$C$29/12)*'Параметры'!$C$30</f>
        <v/>
      </c>
      <c r="Q31" s="6">
        <f>'Параметры'!$C$28/12+MAX(0,Q20-'Параметры'!$C$29/12)*'Параметры'!$C$30</f>
        <v/>
      </c>
      <c r="R31" s="6">
        <f>'Параметры'!$C$28/12+MAX(0,R20-'Параметры'!$C$29/12)*'Параметры'!$C$30</f>
        <v/>
      </c>
      <c r="S31" s="6">
        <f>'Параметры'!$C$28/12+MAX(0,S20-'Параметры'!$C$29/12)*'Параметры'!$C$30</f>
        <v/>
      </c>
      <c r="T31" s="6">
        <f>'Параметры'!$C$28/12+MAX(0,T20-'Параметры'!$C$29/12)*'Параметры'!$C$30</f>
        <v/>
      </c>
      <c r="U31" s="6">
        <f>'Параметры'!$C$28/12+MAX(0,U20-'Параметры'!$C$29/12)*'Параметры'!$C$30</f>
        <v/>
      </c>
      <c r="V31" s="6">
        <f>'Параметры'!$C$28/12+MAX(0,V20-'Параметры'!$C$29/12)*'Параметры'!$C$30</f>
        <v/>
      </c>
      <c r="W31" s="6">
        <f>'Параметры'!$C$28/12+MAX(0,W20-'Параметры'!$C$29/12)*'Параметры'!$C$30</f>
        <v/>
      </c>
      <c r="X31" s="6">
        <f>'Параметры'!$C$28/12+MAX(0,X20-'Параметры'!$C$29/12)*'Параметры'!$C$30</f>
        <v/>
      </c>
      <c r="Y31" s="6">
        <f>'Параметры'!$C$28/12+MAX(0,Y20-'Параметры'!$C$29/12)*'Параметры'!$C$30</f>
        <v/>
      </c>
    </row>
    <row r="32">
      <c r="A32" s="9" t="inlineStr">
        <is>
          <t>Постоянные расходы</t>
        </is>
      </c>
    </row>
    <row r="33">
      <c r="A33" s="4" t="inlineStr">
        <is>
          <t>Сервер, база, касса, домен, прочее</t>
        </is>
      </c>
      <c r="B33" s="6">
        <f>'Параметры'!$C$32+'Параметры'!$C$33+'Параметры'!$C$34+'Параметры'!$C$35+'Параметры'!$C$36</f>
        <v/>
      </c>
      <c r="C33" s="6">
        <f>'Параметры'!$C$32+'Параметры'!$C$33+'Параметры'!$C$34+'Параметры'!$C$35+'Параметры'!$C$36</f>
        <v/>
      </c>
      <c r="D33" s="6">
        <f>'Параметры'!$C$32+'Параметры'!$C$33+'Параметры'!$C$34+'Параметры'!$C$35+'Параметры'!$C$36</f>
        <v/>
      </c>
      <c r="E33" s="6">
        <f>'Параметры'!$C$32+'Параметры'!$C$33+'Параметры'!$C$34+'Параметры'!$C$35+'Параметры'!$C$36</f>
        <v/>
      </c>
      <c r="F33" s="6">
        <f>'Параметры'!$C$32+'Параметры'!$C$33+'Параметры'!$C$34+'Параметры'!$C$35+'Параметры'!$C$36</f>
        <v/>
      </c>
      <c r="G33" s="6">
        <f>'Параметры'!$C$32+'Параметры'!$C$33+'Параметры'!$C$34+'Параметры'!$C$35+'Параметры'!$C$36</f>
        <v/>
      </c>
      <c r="H33" s="6">
        <f>'Параметры'!$C$32+'Параметры'!$C$33+'Параметры'!$C$34+'Параметры'!$C$35+'Параметры'!$C$36</f>
        <v/>
      </c>
      <c r="I33" s="6">
        <f>'Параметры'!$C$32+'Параметры'!$C$33+'Параметры'!$C$34+'Параметры'!$C$35+'Параметры'!$C$36</f>
        <v/>
      </c>
      <c r="J33" s="6">
        <f>'Параметры'!$C$32+'Параметры'!$C$33+'Параметры'!$C$34+'Параметры'!$C$35+'Параметры'!$C$36</f>
        <v/>
      </c>
      <c r="K33" s="6">
        <f>'Параметры'!$C$32+'Параметры'!$C$33+'Параметры'!$C$34+'Параметры'!$C$35+'Параметры'!$C$36</f>
        <v/>
      </c>
      <c r="L33" s="6">
        <f>'Параметры'!$C$32+'Параметры'!$C$33+'Параметры'!$C$34+'Параметры'!$C$35+'Параметры'!$C$36</f>
        <v/>
      </c>
      <c r="M33" s="6">
        <f>'Параметры'!$C$32+'Параметры'!$C$33+'Параметры'!$C$34+'Параметры'!$C$35+'Параметры'!$C$36</f>
        <v/>
      </c>
      <c r="N33" s="6">
        <f>'Параметры'!$C$32+'Параметры'!$C$33+'Параметры'!$C$34+'Параметры'!$C$35+'Параметры'!$C$36</f>
        <v/>
      </c>
      <c r="O33" s="6">
        <f>'Параметры'!$C$32+'Параметры'!$C$33+'Параметры'!$C$34+'Параметры'!$C$35+'Параметры'!$C$36</f>
        <v/>
      </c>
      <c r="P33" s="6">
        <f>'Параметры'!$C$32+'Параметры'!$C$33+'Параметры'!$C$34+'Параметры'!$C$35+'Параметры'!$C$36</f>
        <v/>
      </c>
      <c r="Q33" s="6">
        <f>'Параметры'!$C$32+'Параметры'!$C$33+'Параметры'!$C$34+'Параметры'!$C$35+'Параметры'!$C$36</f>
        <v/>
      </c>
      <c r="R33" s="6">
        <f>'Параметры'!$C$32+'Параметры'!$C$33+'Параметры'!$C$34+'Параметры'!$C$35+'Параметры'!$C$36</f>
        <v/>
      </c>
      <c r="S33" s="6">
        <f>'Параметры'!$C$32+'Параметры'!$C$33+'Параметры'!$C$34+'Параметры'!$C$35+'Параметры'!$C$36</f>
        <v/>
      </c>
      <c r="T33" s="6">
        <f>'Параметры'!$C$32+'Параметры'!$C$33+'Параметры'!$C$34+'Параметры'!$C$35+'Параметры'!$C$36</f>
        <v/>
      </c>
      <c r="U33" s="6">
        <f>'Параметры'!$C$32+'Параметры'!$C$33+'Параметры'!$C$34+'Параметры'!$C$35+'Параметры'!$C$36</f>
        <v/>
      </c>
      <c r="V33" s="6">
        <f>'Параметры'!$C$32+'Параметры'!$C$33+'Параметры'!$C$34+'Параметры'!$C$35+'Параметры'!$C$36</f>
        <v/>
      </c>
      <c r="W33" s="6">
        <f>'Параметры'!$C$32+'Параметры'!$C$33+'Параметры'!$C$34+'Параметры'!$C$35+'Параметры'!$C$36</f>
        <v/>
      </c>
      <c r="X33" s="6">
        <f>'Параметры'!$C$32+'Параметры'!$C$33+'Параметры'!$C$34+'Параметры'!$C$35+'Параметры'!$C$36</f>
        <v/>
      </c>
      <c r="Y33" s="6">
        <f>'Параметры'!$C$32+'Параметры'!$C$33+'Параметры'!$C$34+'Параметры'!$C$35+'Параметры'!$C$36</f>
        <v/>
      </c>
    </row>
    <row r="34">
      <c r="A34" s="4" t="inlineStr">
        <is>
          <t>Реклама</t>
        </is>
      </c>
      <c r="B34" s="6">
        <f>'Параметры'!$C$41</f>
        <v/>
      </c>
      <c r="C34" s="6">
        <f>'Параметры'!$C$41</f>
        <v/>
      </c>
      <c r="D34" s="6">
        <f>'Параметры'!$C$41</f>
        <v/>
      </c>
      <c r="E34" s="6">
        <f>'Параметры'!$C$41</f>
        <v/>
      </c>
      <c r="F34" s="6">
        <f>'Параметры'!$C$41</f>
        <v/>
      </c>
      <c r="G34" s="6">
        <f>'Параметры'!$C$41</f>
        <v/>
      </c>
      <c r="H34" s="6">
        <f>'Параметры'!$C$41</f>
        <v/>
      </c>
      <c r="I34" s="6">
        <f>'Параметры'!$C$41</f>
        <v/>
      </c>
      <c r="J34" s="6">
        <f>'Параметры'!$C$41</f>
        <v/>
      </c>
      <c r="K34" s="6">
        <f>'Параметры'!$C$41</f>
        <v/>
      </c>
      <c r="L34" s="6">
        <f>'Параметры'!$C$41</f>
        <v/>
      </c>
      <c r="M34" s="6">
        <f>'Параметры'!$C$41</f>
        <v/>
      </c>
      <c r="N34" s="6">
        <f>'Параметры'!$C$41</f>
        <v/>
      </c>
      <c r="O34" s="6">
        <f>'Параметры'!$C$41</f>
        <v/>
      </c>
      <c r="P34" s="6">
        <f>'Параметры'!$C$41</f>
        <v/>
      </c>
      <c r="Q34" s="6">
        <f>'Параметры'!$C$41</f>
        <v/>
      </c>
      <c r="R34" s="6">
        <f>'Параметры'!$C$41</f>
        <v/>
      </c>
      <c r="S34" s="6">
        <f>'Параметры'!$C$41</f>
        <v/>
      </c>
      <c r="T34" s="6">
        <f>'Параметры'!$C$41</f>
        <v/>
      </c>
      <c r="U34" s="6">
        <f>'Параметры'!$C$41</f>
        <v/>
      </c>
      <c r="V34" s="6">
        <f>'Параметры'!$C$41</f>
        <v/>
      </c>
      <c r="W34" s="6">
        <f>'Параметры'!$C$41</f>
        <v/>
      </c>
      <c r="X34" s="6">
        <f>'Параметры'!$C$41</f>
        <v/>
      </c>
      <c r="Y34" s="6">
        <f>'Параметры'!$C$41</f>
        <v/>
      </c>
    </row>
    <row r="35">
      <c r="A35" s="4" t="inlineStr">
        <is>
          <t>Работа владельцев</t>
        </is>
      </c>
      <c r="B35" s="6">
        <f>'Параметры'!$C$37</f>
        <v/>
      </c>
      <c r="C35" s="6">
        <f>'Параметры'!$C$37</f>
        <v/>
      </c>
      <c r="D35" s="6">
        <f>'Параметры'!$C$37</f>
        <v/>
      </c>
      <c r="E35" s="6">
        <f>'Параметры'!$C$37</f>
        <v/>
      </c>
      <c r="F35" s="6">
        <f>'Параметры'!$C$37</f>
        <v/>
      </c>
      <c r="G35" s="6">
        <f>'Параметры'!$C$37</f>
        <v/>
      </c>
      <c r="H35" s="6">
        <f>'Параметры'!$C$37</f>
        <v/>
      </c>
      <c r="I35" s="6">
        <f>'Параметры'!$C$37</f>
        <v/>
      </c>
      <c r="J35" s="6">
        <f>'Параметры'!$C$37</f>
        <v/>
      </c>
      <c r="K35" s="6">
        <f>'Параметры'!$C$37</f>
        <v/>
      </c>
      <c r="L35" s="6">
        <f>'Параметры'!$C$37</f>
        <v/>
      </c>
      <c r="M35" s="6">
        <f>'Параметры'!$C$37</f>
        <v/>
      </c>
      <c r="N35" s="6">
        <f>'Параметры'!$C$37</f>
        <v/>
      </c>
      <c r="O35" s="6">
        <f>'Параметры'!$C$37</f>
        <v/>
      </c>
      <c r="P35" s="6">
        <f>'Параметры'!$C$37</f>
        <v/>
      </c>
      <c r="Q35" s="6">
        <f>'Параметры'!$C$37</f>
        <v/>
      </c>
      <c r="R35" s="6">
        <f>'Параметры'!$C$37</f>
        <v/>
      </c>
      <c r="S35" s="6">
        <f>'Параметры'!$C$37</f>
        <v/>
      </c>
      <c r="T35" s="6">
        <f>'Параметры'!$C$37</f>
        <v/>
      </c>
      <c r="U35" s="6">
        <f>'Параметры'!$C$37</f>
        <v/>
      </c>
      <c r="V35" s="6">
        <f>'Параметры'!$C$37</f>
        <v/>
      </c>
      <c r="W35" s="6">
        <f>'Параметры'!$C$37</f>
        <v/>
      </c>
      <c r="X35" s="6">
        <f>'Параметры'!$C$37</f>
        <v/>
      </c>
      <c r="Y35" s="6">
        <f>'Параметры'!$C$37</f>
        <v/>
      </c>
    </row>
    <row r="36">
      <c r="A36" s="9" t="inlineStr">
        <is>
          <t>Итог</t>
        </is>
      </c>
    </row>
    <row r="37">
      <c r="A37" s="9" t="inlineStr">
        <is>
          <t>Расходы всего</t>
        </is>
      </c>
      <c r="B37" s="8">
        <f>B22+B23+B24+B25+B26+B29+B30+B31+B33+B34+B35</f>
        <v/>
      </c>
      <c r="C37" s="8">
        <f>C22+C23+C24+C25+C26+C29+C30+C31+C33+C34+C35</f>
        <v/>
      </c>
      <c r="D37" s="8">
        <f>D22+D23+D24+D25+D26+D29+D30+D31+D33+D34+D35</f>
        <v/>
      </c>
      <c r="E37" s="8">
        <f>E22+E23+E24+E25+E26+E29+E30+E31+E33+E34+E35</f>
        <v/>
      </c>
      <c r="F37" s="8">
        <f>F22+F23+F24+F25+F26+F29+F30+F31+F33+F34+F35</f>
        <v/>
      </c>
      <c r="G37" s="8">
        <f>G22+G23+G24+G25+G26+G29+G30+G31+G33+G34+G35</f>
        <v/>
      </c>
      <c r="H37" s="8">
        <f>H22+H23+H24+H25+H26+H29+H30+H31+H33+H34+H35</f>
        <v/>
      </c>
      <c r="I37" s="8">
        <f>I22+I23+I24+I25+I26+I29+I30+I31+I33+I34+I35</f>
        <v/>
      </c>
      <c r="J37" s="8">
        <f>J22+J23+J24+J25+J26+J29+J30+J31+J33+J34+J35</f>
        <v/>
      </c>
      <c r="K37" s="8">
        <f>K22+K23+K24+K25+K26+K29+K30+K31+K33+K34+K35</f>
        <v/>
      </c>
      <c r="L37" s="8">
        <f>L22+L23+L24+L25+L26+L29+L30+L31+L33+L34+L35</f>
        <v/>
      </c>
      <c r="M37" s="8">
        <f>M22+M23+M24+M25+M26+M29+M30+M31+M33+M34+M35</f>
        <v/>
      </c>
      <c r="N37" s="8">
        <f>N22+N23+N24+N25+N26+N29+N30+N31+N33+N34+N35</f>
        <v/>
      </c>
      <c r="O37" s="8">
        <f>O22+O23+O24+O25+O26+O29+O30+O31+O33+O34+O35</f>
        <v/>
      </c>
      <c r="P37" s="8">
        <f>P22+P23+P24+P25+P26+P29+P30+P31+P33+P34+P35</f>
        <v/>
      </c>
      <c r="Q37" s="8">
        <f>Q22+Q23+Q24+Q25+Q26+Q29+Q30+Q31+Q33+Q34+Q35</f>
        <v/>
      </c>
      <c r="R37" s="8">
        <f>R22+R23+R24+R25+R26+R29+R30+R31+R33+R34+R35</f>
        <v/>
      </c>
      <c r="S37" s="8">
        <f>S22+S23+S24+S25+S26+S29+S30+S31+S33+S34+S35</f>
        <v/>
      </c>
      <c r="T37" s="8">
        <f>T22+T23+T24+T25+T26+T29+T30+T31+T33+T34+T35</f>
        <v/>
      </c>
      <c r="U37" s="8">
        <f>U22+U23+U24+U25+U26+U29+U30+U31+U33+U34+U35</f>
        <v/>
      </c>
      <c r="V37" s="8">
        <f>V22+V23+V24+V25+V26+V29+V30+V31+V33+V34+V35</f>
        <v/>
      </c>
      <c r="W37" s="8">
        <f>W22+W23+W24+W25+W26+W29+W30+W31+W33+W34+W35</f>
        <v/>
      </c>
      <c r="X37" s="8">
        <f>X22+X23+X24+X25+X26+X29+X30+X31+X33+X34+X35</f>
        <v/>
      </c>
      <c r="Y37" s="8">
        <f>Y22+Y23+Y24+Y25+Y26+Y29+Y30+Y31+Y33+Y34+Y35</f>
        <v/>
      </c>
    </row>
    <row r="38">
      <c r="A38" s="9" t="inlineStr">
        <is>
          <t>Прибыль за месяц</t>
        </is>
      </c>
      <c r="B38" s="8">
        <f>B20-B37</f>
        <v/>
      </c>
      <c r="C38" s="8">
        <f>C20-C37</f>
        <v/>
      </c>
      <c r="D38" s="8">
        <f>D20-D37</f>
        <v/>
      </c>
      <c r="E38" s="8">
        <f>E20-E37</f>
        <v/>
      </c>
      <c r="F38" s="8">
        <f>F20-F37</f>
        <v/>
      </c>
      <c r="G38" s="8">
        <f>G20-G37</f>
        <v/>
      </c>
      <c r="H38" s="8">
        <f>H20-H37</f>
        <v/>
      </c>
      <c r="I38" s="8">
        <f>I20-I37</f>
        <v/>
      </c>
      <c r="J38" s="8">
        <f>J20-J37</f>
        <v/>
      </c>
      <c r="K38" s="8">
        <f>K20-K37</f>
        <v/>
      </c>
      <c r="L38" s="8">
        <f>L20-L37</f>
        <v/>
      </c>
      <c r="M38" s="8">
        <f>M20-M37</f>
        <v/>
      </c>
      <c r="N38" s="8">
        <f>N20-N37</f>
        <v/>
      </c>
      <c r="O38" s="8">
        <f>O20-O37</f>
        <v/>
      </c>
      <c r="P38" s="8">
        <f>P20-P37</f>
        <v/>
      </c>
      <c r="Q38" s="8">
        <f>Q20-Q37</f>
        <v/>
      </c>
      <c r="R38" s="8">
        <f>R20-R37</f>
        <v/>
      </c>
      <c r="S38" s="8">
        <f>S20-S37</f>
        <v/>
      </c>
      <c r="T38" s="8">
        <f>T20-T37</f>
        <v/>
      </c>
      <c r="U38" s="8">
        <f>U20-U37</f>
        <v/>
      </c>
      <c r="V38" s="8">
        <f>V20-V37</f>
        <v/>
      </c>
      <c r="W38" s="8">
        <f>W20-W37</f>
        <v/>
      </c>
      <c r="X38" s="8">
        <f>X20-X37</f>
        <v/>
      </c>
      <c r="Y38" s="8">
        <f>Y20-Y37</f>
        <v/>
      </c>
    </row>
    <row r="39">
      <c r="A39" s="9" t="inlineStr">
        <is>
          <t>Накопленный итог</t>
        </is>
      </c>
      <c r="B39" s="8">
        <f>B38</f>
        <v/>
      </c>
      <c r="C39" s="8">
        <f>B39+C38</f>
        <v/>
      </c>
      <c r="D39" s="8">
        <f>C39+D38</f>
        <v/>
      </c>
      <c r="E39" s="8">
        <f>D39+E38</f>
        <v/>
      </c>
      <c r="F39" s="8">
        <f>E39+F38</f>
        <v/>
      </c>
      <c r="G39" s="8">
        <f>F39+G38</f>
        <v/>
      </c>
      <c r="H39" s="8">
        <f>G39+H38</f>
        <v/>
      </c>
      <c r="I39" s="8">
        <f>H39+I38</f>
        <v/>
      </c>
      <c r="J39" s="8">
        <f>I39+J38</f>
        <v/>
      </c>
      <c r="K39" s="8">
        <f>J39+K38</f>
        <v/>
      </c>
      <c r="L39" s="8">
        <f>K39+L38</f>
        <v/>
      </c>
      <c r="M39" s="8">
        <f>L39+M38</f>
        <v/>
      </c>
      <c r="N39" s="8">
        <f>M39+N38</f>
        <v/>
      </c>
      <c r="O39" s="8">
        <f>N39+O38</f>
        <v/>
      </c>
      <c r="P39" s="8">
        <f>O39+P38</f>
        <v/>
      </c>
      <c r="Q39" s="8">
        <f>P39+Q38</f>
        <v/>
      </c>
      <c r="R39" s="8">
        <f>Q39+R38</f>
        <v/>
      </c>
      <c r="S39" s="8">
        <f>R39+S38</f>
        <v/>
      </c>
      <c r="T39" s="8">
        <f>S39+T38</f>
        <v/>
      </c>
      <c r="U39" s="8">
        <f>T39+U38</f>
        <v/>
      </c>
      <c r="V39" s="8">
        <f>U39+V38</f>
        <v/>
      </c>
      <c r="W39" s="8">
        <f>V39+W38</f>
        <v/>
      </c>
      <c r="X39" s="8">
        <f>W39+X38</f>
        <v/>
      </c>
      <c r="Y39" s="8">
        <f>X39+Y38</f>
        <v/>
      </c>
    </row>
    <row r="40">
      <c r="A40" s="4" t="inlineStr">
        <is>
          <t>Месяц прибыльный (1 — да)</t>
        </is>
      </c>
      <c r="B40" s="16">
        <f>IF(B38&gt;=0,1,0)</f>
        <v/>
      </c>
      <c r="C40" s="16">
        <f>IF(C38&gt;=0,1,0)</f>
        <v/>
      </c>
      <c r="D40" s="16">
        <f>IF(D38&gt;=0,1,0)</f>
        <v/>
      </c>
      <c r="E40" s="16">
        <f>IF(E38&gt;=0,1,0)</f>
        <v/>
      </c>
      <c r="F40" s="16">
        <f>IF(F38&gt;=0,1,0)</f>
        <v/>
      </c>
      <c r="G40" s="16">
        <f>IF(G38&gt;=0,1,0)</f>
        <v/>
      </c>
      <c r="H40" s="16">
        <f>IF(H38&gt;=0,1,0)</f>
        <v/>
      </c>
      <c r="I40" s="16">
        <f>IF(I38&gt;=0,1,0)</f>
        <v/>
      </c>
      <c r="J40" s="16">
        <f>IF(J38&gt;=0,1,0)</f>
        <v/>
      </c>
      <c r="K40" s="16">
        <f>IF(K38&gt;=0,1,0)</f>
        <v/>
      </c>
      <c r="L40" s="16">
        <f>IF(L38&gt;=0,1,0)</f>
        <v/>
      </c>
      <c r="M40" s="16">
        <f>IF(M38&gt;=0,1,0)</f>
        <v/>
      </c>
      <c r="N40" s="16">
        <f>IF(N38&gt;=0,1,0)</f>
        <v/>
      </c>
      <c r="O40" s="16">
        <f>IF(O38&gt;=0,1,0)</f>
        <v/>
      </c>
      <c r="P40" s="16">
        <f>IF(P38&gt;=0,1,0)</f>
        <v/>
      </c>
      <c r="Q40" s="16">
        <f>IF(Q38&gt;=0,1,0)</f>
        <v/>
      </c>
      <c r="R40" s="16">
        <f>IF(R38&gt;=0,1,0)</f>
        <v/>
      </c>
      <c r="S40" s="16">
        <f>IF(S38&gt;=0,1,0)</f>
        <v/>
      </c>
      <c r="T40" s="16">
        <f>IF(T38&gt;=0,1,0)</f>
        <v/>
      </c>
      <c r="U40" s="16">
        <f>IF(U38&gt;=0,1,0)</f>
        <v/>
      </c>
      <c r="V40" s="16">
        <f>IF(V38&gt;=0,1,0)</f>
        <v/>
      </c>
      <c r="W40" s="16">
        <f>IF(W38&gt;=0,1,0)</f>
        <v/>
      </c>
      <c r="X40" s="16">
        <f>IF(X38&gt;=0,1,0)</f>
        <v/>
      </c>
      <c r="Y40" s="16">
        <f>IF(Y38&gt;=0,1,0)</f>
        <v/>
      </c>
    </row>
    <row r="41">
      <c r="A41" s="4" t="inlineStr">
        <is>
          <t>Вложения возвращены (1 — да)</t>
        </is>
      </c>
      <c r="B41" s="16">
        <f>IF(B39&gt;=0,1,0)</f>
        <v/>
      </c>
      <c r="C41" s="16">
        <f>IF(C39&gt;=0,1,0)</f>
        <v/>
      </c>
      <c r="D41" s="16">
        <f>IF(D39&gt;=0,1,0)</f>
        <v/>
      </c>
      <c r="E41" s="16">
        <f>IF(E39&gt;=0,1,0)</f>
        <v/>
      </c>
      <c r="F41" s="16">
        <f>IF(F39&gt;=0,1,0)</f>
        <v/>
      </c>
      <c r="G41" s="16">
        <f>IF(G39&gt;=0,1,0)</f>
        <v/>
      </c>
      <c r="H41" s="16">
        <f>IF(H39&gt;=0,1,0)</f>
        <v/>
      </c>
      <c r="I41" s="16">
        <f>IF(I39&gt;=0,1,0)</f>
        <v/>
      </c>
      <c r="J41" s="16">
        <f>IF(J39&gt;=0,1,0)</f>
        <v/>
      </c>
      <c r="K41" s="16">
        <f>IF(K39&gt;=0,1,0)</f>
        <v/>
      </c>
      <c r="L41" s="16">
        <f>IF(L39&gt;=0,1,0)</f>
        <v/>
      </c>
      <c r="M41" s="16">
        <f>IF(M39&gt;=0,1,0)</f>
        <v/>
      </c>
      <c r="N41" s="16">
        <f>IF(N39&gt;=0,1,0)</f>
        <v/>
      </c>
      <c r="O41" s="16">
        <f>IF(O39&gt;=0,1,0)</f>
        <v/>
      </c>
      <c r="P41" s="16">
        <f>IF(P39&gt;=0,1,0)</f>
        <v/>
      </c>
      <c r="Q41" s="16">
        <f>IF(Q39&gt;=0,1,0)</f>
        <v/>
      </c>
      <c r="R41" s="16">
        <f>IF(R39&gt;=0,1,0)</f>
        <v/>
      </c>
      <c r="S41" s="16">
        <f>IF(S39&gt;=0,1,0)</f>
        <v/>
      </c>
      <c r="T41" s="16">
        <f>IF(T39&gt;=0,1,0)</f>
        <v/>
      </c>
      <c r="U41" s="16">
        <f>IF(U39&gt;=0,1,0)</f>
        <v/>
      </c>
      <c r="V41" s="16">
        <f>IF(V39&gt;=0,1,0)</f>
        <v/>
      </c>
      <c r="W41" s="16">
        <f>IF(W39&gt;=0,1,0)</f>
        <v/>
      </c>
      <c r="X41" s="16">
        <f>IF(X39&gt;=0,1,0)</f>
        <v/>
      </c>
      <c r="Y41" s="16">
        <f>IF(Y39&gt;=0,1,0)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yaSEO — сценарий «смелый», 24 месяцев, ₽</t>
        </is>
      </c>
    </row>
    <row r="3">
      <c r="A3" s="3" t="inlineStr">
        <is>
          <t>Месяц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4">
      <c r="A4" s="9" t="inlineStr">
        <is>
          <t>Поток</t>
        </is>
      </c>
    </row>
    <row r="5">
      <c r="A5" s="4" t="inlineStr">
        <is>
          <t>Посетители бесплатных каналов</t>
        </is>
      </c>
      <c r="B5" s="5">
        <f>'Параметры'!$D$39</f>
        <v/>
      </c>
      <c r="C5" s="5">
        <f>B5*(1+'Параметры'!$D$40)</f>
        <v/>
      </c>
      <c r="D5" s="5">
        <f>C5*(1+'Параметры'!$D$40)</f>
        <v/>
      </c>
      <c r="E5" s="5">
        <f>D5*(1+'Параметры'!$D$40)</f>
        <v/>
      </c>
      <c r="F5" s="5">
        <f>E5*(1+'Параметры'!$D$40)</f>
        <v/>
      </c>
      <c r="G5" s="5">
        <f>F5*(1+'Параметры'!$D$40)</f>
        <v/>
      </c>
      <c r="H5" s="5">
        <f>G5*(1+'Параметры'!$D$40)</f>
        <v/>
      </c>
      <c r="I5" s="5">
        <f>H5*(1+'Параметры'!$D$40)</f>
        <v/>
      </c>
      <c r="J5" s="5">
        <f>I5*(1+'Параметры'!$D$40)</f>
        <v/>
      </c>
      <c r="K5" s="5">
        <f>J5*(1+'Параметры'!$D$40)</f>
        <v/>
      </c>
      <c r="L5" s="5">
        <f>K5*(1+'Параметры'!$D$40)</f>
        <v/>
      </c>
      <c r="M5" s="5">
        <f>L5*(1+'Параметры'!$D$40)</f>
        <v/>
      </c>
      <c r="N5" s="5">
        <f>M5*(1+'Параметры'!$D$40)</f>
        <v/>
      </c>
      <c r="O5" s="5">
        <f>N5*(1+'Параметры'!$D$40)</f>
        <v/>
      </c>
      <c r="P5" s="5">
        <f>O5*(1+'Параметры'!$D$40)</f>
        <v/>
      </c>
      <c r="Q5" s="5">
        <f>P5*(1+'Параметры'!$D$40)</f>
        <v/>
      </c>
      <c r="R5" s="5">
        <f>Q5*(1+'Параметры'!$D$40)</f>
        <v/>
      </c>
      <c r="S5" s="5">
        <f>R5*(1+'Параметры'!$D$40)</f>
        <v/>
      </c>
      <c r="T5" s="5">
        <f>S5*(1+'Параметры'!$D$40)</f>
        <v/>
      </c>
      <c r="U5" s="5">
        <f>T5*(1+'Параметры'!$D$40)</f>
        <v/>
      </c>
      <c r="V5" s="5">
        <f>U5*(1+'Параметры'!$D$40)</f>
        <v/>
      </c>
      <c r="W5" s="5">
        <f>V5*(1+'Параметры'!$D$40)</f>
        <v/>
      </c>
      <c r="X5" s="5">
        <f>W5*(1+'Параметры'!$D$40)</f>
        <v/>
      </c>
      <c r="Y5" s="5">
        <f>X5*(1+'Параметры'!$D$40)</f>
        <v/>
      </c>
    </row>
    <row r="6">
      <c r="A6" s="4" t="inlineStr">
        <is>
          <t>Посетители из рекламы</t>
        </is>
      </c>
      <c r="B6" s="5">
        <f>IF('Параметры'!$D$42&gt;0,'Параметры'!$D$41/'Параметры'!$D$42,0)</f>
        <v/>
      </c>
      <c r="C6" s="5">
        <f>IF('Параметры'!$D$42&gt;0,'Параметры'!$D$41/'Параметры'!$D$42,0)</f>
        <v/>
      </c>
      <c r="D6" s="5">
        <f>IF('Параметры'!$D$42&gt;0,'Параметры'!$D$41/'Параметры'!$D$42,0)</f>
        <v/>
      </c>
      <c r="E6" s="5">
        <f>IF('Параметры'!$D$42&gt;0,'Параметры'!$D$41/'Параметры'!$D$42,0)</f>
        <v/>
      </c>
      <c r="F6" s="5">
        <f>IF('Параметры'!$D$42&gt;0,'Параметры'!$D$41/'Параметры'!$D$42,0)</f>
        <v/>
      </c>
      <c r="G6" s="5">
        <f>IF('Параметры'!$D$42&gt;0,'Параметры'!$D$41/'Параметры'!$D$42,0)</f>
        <v/>
      </c>
      <c r="H6" s="5">
        <f>IF('Параметры'!$D$42&gt;0,'Параметры'!$D$41/'Параметры'!$D$42,0)</f>
        <v/>
      </c>
      <c r="I6" s="5">
        <f>IF('Параметры'!$D$42&gt;0,'Параметры'!$D$41/'Параметры'!$D$42,0)</f>
        <v/>
      </c>
      <c r="J6" s="5">
        <f>IF('Параметры'!$D$42&gt;0,'Параметры'!$D$41/'Параметры'!$D$42,0)</f>
        <v/>
      </c>
      <c r="K6" s="5">
        <f>IF('Параметры'!$D$42&gt;0,'Параметры'!$D$41/'Параметры'!$D$42,0)</f>
        <v/>
      </c>
      <c r="L6" s="5">
        <f>IF('Параметры'!$D$42&gt;0,'Параметры'!$D$41/'Параметры'!$D$42,0)</f>
        <v/>
      </c>
      <c r="M6" s="5">
        <f>IF('Параметры'!$D$42&gt;0,'Параметры'!$D$41/'Параметры'!$D$42,0)</f>
        <v/>
      </c>
      <c r="N6" s="5">
        <f>IF('Параметры'!$D$42&gt;0,'Параметры'!$D$41/'Параметры'!$D$42,0)</f>
        <v/>
      </c>
      <c r="O6" s="5">
        <f>IF('Параметры'!$D$42&gt;0,'Параметры'!$D$41/'Параметры'!$D$42,0)</f>
        <v/>
      </c>
      <c r="P6" s="5">
        <f>IF('Параметры'!$D$42&gt;0,'Параметры'!$D$41/'Параметры'!$D$42,0)</f>
        <v/>
      </c>
      <c r="Q6" s="5">
        <f>IF('Параметры'!$D$42&gt;0,'Параметры'!$D$41/'Параметры'!$D$42,0)</f>
        <v/>
      </c>
      <c r="R6" s="5">
        <f>IF('Параметры'!$D$42&gt;0,'Параметры'!$D$41/'Параметры'!$D$42,0)</f>
        <v/>
      </c>
      <c r="S6" s="5">
        <f>IF('Параметры'!$D$42&gt;0,'Параметры'!$D$41/'Параметры'!$D$42,0)</f>
        <v/>
      </c>
      <c r="T6" s="5">
        <f>IF('Параметры'!$D$42&gt;0,'Параметры'!$D$41/'Параметры'!$D$42,0)</f>
        <v/>
      </c>
      <c r="U6" s="5">
        <f>IF('Параметры'!$D$42&gt;0,'Параметры'!$D$41/'Параметры'!$D$42,0)</f>
        <v/>
      </c>
      <c r="V6" s="5">
        <f>IF('Параметры'!$D$42&gt;0,'Параметры'!$D$41/'Параметры'!$D$42,0)</f>
        <v/>
      </c>
      <c r="W6" s="5">
        <f>IF('Параметры'!$D$42&gt;0,'Параметры'!$D$41/'Параметры'!$D$42,0)</f>
        <v/>
      </c>
      <c r="X6" s="5">
        <f>IF('Параметры'!$D$42&gt;0,'Параметры'!$D$41/'Параметры'!$D$42,0)</f>
        <v/>
      </c>
      <c r="Y6" s="5">
        <f>IF('Параметры'!$D$42&gt;0,'Параметры'!$D$41/'Параметры'!$D$42,0)</f>
        <v/>
      </c>
    </row>
    <row r="7">
      <c r="A7" s="4" t="inlineStr">
        <is>
          <t>Посетители всего</t>
        </is>
      </c>
      <c r="B7" s="16">
        <f>B5+B6</f>
        <v/>
      </c>
      <c r="C7" s="16">
        <f>C5+C6</f>
        <v/>
      </c>
      <c r="D7" s="16">
        <f>D5+D6</f>
        <v/>
      </c>
      <c r="E7" s="16">
        <f>E5+E6</f>
        <v/>
      </c>
      <c r="F7" s="16">
        <f>F5+F6</f>
        <v/>
      </c>
      <c r="G7" s="16">
        <f>G5+G6</f>
        <v/>
      </c>
      <c r="H7" s="16">
        <f>H5+H6</f>
        <v/>
      </c>
      <c r="I7" s="16">
        <f>I5+I6</f>
        <v/>
      </c>
      <c r="J7" s="16">
        <f>J5+J6</f>
        <v/>
      </c>
      <c r="K7" s="16">
        <f>K5+K6</f>
        <v/>
      </c>
      <c r="L7" s="16">
        <f>L5+L6</f>
        <v/>
      </c>
      <c r="M7" s="16">
        <f>M5+M6</f>
        <v/>
      </c>
      <c r="N7" s="16">
        <f>N5+N6</f>
        <v/>
      </c>
      <c r="O7" s="16">
        <f>O5+O6</f>
        <v/>
      </c>
      <c r="P7" s="16">
        <f>P5+P6</f>
        <v/>
      </c>
      <c r="Q7" s="16">
        <f>Q5+Q6</f>
        <v/>
      </c>
      <c r="R7" s="16">
        <f>R5+R6</f>
        <v/>
      </c>
      <c r="S7" s="16">
        <f>S5+S6</f>
        <v/>
      </c>
      <c r="T7" s="16">
        <f>T5+T6</f>
        <v/>
      </c>
      <c r="U7" s="16">
        <f>U5+U6</f>
        <v/>
      </c>
      <c r="V7" s="16">
        <f>V5+V6</f>
        <v/>
      </c>
      <c r="W7" s="16">
        <f>W5+W6</f>
        <v/>
      </c>
      <c r="X7" s="16">
        <f>X5+X6</f>
        <v/>
      </c>
      <c r="Y7" s="16">
        <f>Y5+Y6</f>
        <v/>
      </c>
    </row>
    <row r="8">
      <c r="A8" s="4" t="inlineStr">
        <is>
          <t>Бесплатные проверки (регистрации)</t>
        </is>
      </c>
      <c r="B8" s="5">
        <f>B7*'Параметры'!$D$44</f>
        <v/>
      </c>
      <c r="C8" s="5">
        <f>C7*'Параметры'!$D$44</f>
        <v/>
      </c>
      <c r="D8" s="5">
        <f>D7*'Параметры'!$D$44</f>
        <v/>
      </c>
      <c r="E8" s="5">
        <f>E7*'Параметры'!$D$44</f>
        <v/>
      </c>
      <c r="F8" s="5">
        <f>F7*'Параметры'!$D$44</f>
        <v/>
      </c>
      <c r="G8" s="5">
        <f>G7*'Параметры'!$D$44</f>
        <v/>
      </c>
      <c r="H8" s="5">
        <f>H7*'Параметры'!$D$44</f>
        <v/>
      </c>
      <c r="I8" s="5">
        <f>I7*'Параметры'!$D$44</f>
        <v/>
      </c>
      <c r="J8" s="5">
        <f>J7*'Параметры'!$D$44</f>
        <v/>
      </c>
      <c r="K8" s="5">
        <f>K7*'Параметры'!$D$44</f>
        <v/>
      </c>
      <c r="L8" s="5">
        <f>L7*'Параметры'!$D$44</f>
        <v/>
      </c>
      <c r="M8" s="5">
        <f>M7*'Параметры'!$D$44</f>
        <v/>
      </c>
      <c r="N8" s="5">
        <f>N7*'Параметры'!$D$44</f>
        <v/>
      </c>
      <c r="O8" s="5">
        <f>O7*'Параметры'!$D$44</f>
        <v/>
      </c>
      <c r="P8" s="5">
        <f>P7*'Параметры'!$D$44</f>
        <v/>
      </c>
      <c r="Q8" s="5">
        <f>Q7*'Параметры'!$D$44</f>
        <v/>
      </c>
      <c r="R8" s="5">
        <f>R7*'Параметры'!$D$44</f>
        <v/>
      </c>
      <c r="S8" s="5">
        <f>S7*'Параметры'!$D$44</f>
        <v/>
      </c>
      <c r="T8" s="5">
        <f>T7*'Параметры'!$D$44</f>
        <v/>
      </c>
      <c r="U8" s="5">
        <f>U7*'Параметры'!$D$44</f>
        <v/>
      </c>
      <c r="V8" s="5">
        <f>V7*'Параметры'!$D$44</f>
        <v/>
      </c>
      <c r="W8" s="5">
        <f>W7*'Параметры'!$D$44</f>
        <v/>
      </c>
      <c r="X8" s="5">
        <f>X7*'Параметры'!$D$44</f>
        <v/>
      </c>
      <c r="Y8" s="5">
        <f>Y7*'Параметры'!$D$44</f>
        <v/>
      </c>
    </row>
    <row r="9">
      <c r="A9" s="4" t="inlineStr">
        <is>
          <t>Новые подписчики</t>
        </is>
      </c>
      <c r="B9" s="5">
        <f>B8*'Параметры'!$D$45</f>
        <v/>
      </c>
      <c r="C9" s="5">
        <f>C8*'Параметры'!$D$45</f>
        <v/>
      </c>
      <c r="D9" s="5">
        <f>D8*'Параметры'!$D$45</f>
        <v/>
      </c>
      <c r="E9" s="5">
        <f>E8*'Параметры'!$D$45</f>
        <v/>
      </c>
      <c r="F9" s="5">
        <f>F8*'Параметры'!$D$45</f>
        <v/>
      </c>
      <c r="G9" s="5">
        <f>G8*'Параметры'!$D$45</f>
        <v/>
      </c>
      <c r="H9" s="5">
        <f>H8*'Параметры'!$D$45</f>
        <v/>
      </c>
      <c r="I9" s="5">
        <f>I8*'Параметры'!$D$45</f>
        <v/>
      </c>
      <c r="J9" s="5">
        <f>J8*'Параметры'!$D$45</f>
        <v/>
      </c>
      <c r="K9" s="5">
        <f>K8*'Параметры'!$D$45</f>
        <v/>
      </c>
      <c r="L9" s="5">
        <f>L8*'Параметры'!$D$45</f>
        <v/>
      </c>
      <c r="M9" s="5">
        <f>M8*'Параметры'!$D$45</f>
        <v/>
      </c>
      <c r="N9" s="5">
        <f>N8*'Параметры'!$D$45</f>
        <v/>
      </c>
      <c r="O9" s="5">
        <f>O8*'Параметры'!$D$45</f>
        <v/>
      </c>
      <c r="P9" s="5">
        <f>P8*'Параметры'!$D$45</f>
        <v/>
      </c>
      <c r="Q9" s="5">
        <f>Q8*'Параметры'!$D$45</f>
        <v/>
      </c>
      <c r="R9" s="5">
        <f>R8*'Параметры'!$D$45</f>
        <v/>
      </c>
      <c r="S9" s="5">
        <f>S8*'Параметры'!$D$45</f>
        <v/>
      </c>
      <c r="T9" s="5">
        <f>T8*'Параметры'!$D$45</f>
        <v/>
      </c>
      <c r="U9" s="5">
        <f>U8*'Параметры'!$D$45</f>
        <v/>
      </c>
      <c r="V9" s="5">
        <f>V8*'Параметры'!$D$45</f>
        <v/>
      </c>
      <c r="W9" s="5">
        <f>W8*'Параметры'!$D$45</f>
        <v/>
      </c>
      <c r="X9" s="5">
        <f>X8*'Параметры'!$D$45</f>
        <v/>
      </c>
      <c r="Y9" s="5">
        <f>Y8*'Параметры'!$D$45</f>
        <v/>
      </c>
    </row>
    <row r="10">
      <c r="A10" s="4" t="inlineStr">
        <is>
          <t>Разовые аудиты</t>
        </is>
      </c>
      <c r="B10" s="5">
        <f>B8*'Параметры'!$D$46</f>
        <v/>
      </c>
      <c r="C10" s="5">
        <f>C8*'Параметры'!$D$46</f>
        <v/>
      </c>
      <c r="D10" s="5">
        <f>D8*'Параметры'!$D$46</f>
        <v/>
      </c>
      <c r="E10" s="5">
        <f>E8*'Параметры'!$D$46</f>
        <v/>
      </c>
      <c r="F10" s="5">
        <f>F8*'Параметры'!$D$46</f>
        <v/>
      </c>
      <c r="G10" s="5">
        <f>G8*'Параметры'!$D$46</f>
        <v/>
      </c>
      <c r="H10" s="5">
        <f>H8*'Параметры'!$D$46</f>
        <v/>
      </c>
      <c r="I10" s="5">
        <f>I8*'Параметры'!$D$46</f>
        <v/>
      </c>
      <c r="J10" s="5">
        <f>J8*'Параметры'!$D$46</f>
        <v/>
      </c>
      <c r="K10" s="5">
        <f>K8*'Параметры'!$D$46</f>
        <v/>
      </c>
      <c r="L10" s="5">
        <f>L8*'Параметры'!$D$46</f>
        <v/>
      </c>
      <c r="M10" s="5">
        <f>M8*'Параметры'!$D$46</f>
        <v/>
      </c>
      <c r="N10" s="5">
        <f>N8*'Параметры'!$D$46</f>
        <v/>
      </c>
      <c r="O10" s="5">
        <f>O8*'Параметры'!$D$46</f>
        <v/>
      </c>
      <c r="P10" s="5">
        <f>P8*'Параметры'!$D$46</f>
        <v/>
      </c>
      <c r="Q10" s="5">
        <f>Q8*'Параметры'!$D$46</f>
        <v/>
      </c>
      <c r="R10" s="5">
        <f>R8*'Параметры'!$D$46</f>
        <v/>
      </c>
      <c r="S10" s="5">
        <f>S8*'Параметры'!$D$46</f>
        <v/>
      </c>
      <c r="T10" s="5">
        <f>T8*'Параметры'!$D$46</f>
        <v/>
      </c>
      <c r="U10" s="5">
        <f>U8*'Параметры'!$D$46</f>
        <v/>
      </c>
      <c r="V10" s="5">
        <f>V8*'Параметры'!$D$46</f>
        <v/>
      </c>
      <c r="W10" s="5">
        <f>W8*'Параметры'!$D$46</f>
        <v/>
      </c>
      <c r="X10" s="5">
        <f>X8*'Параметры'!$D$46</f>
        <v/>
      </c>
      <c r="Y10" s="5">
        <f>Y8*'Параметры'!$D$46</f>
        <v/>
      </c>
    </row>
    <row r="11">
      <c r="A11" s="9" t="inlineStr">
        <is>
          <t>Подписчики</t>
        </is>
      </c>
    </row>
    <row r="12">
      <c r="A12" s="4" t="inlineStr">
        <is>
          <t>Ушло подписчиков</t>
        </is>
      </c>
      <c r="B12" s="16">
        <f>0</f>
        <v/>
      </c>
      <c r="C12" s="5">
        <f>B13*'Параметры'!$D$47</f>
        <v/>
      </c>
      <c r="D12" s="5">
        <f>C13*'Параметры'!$D$47</f>
        <v/>
      </c>
      <c r="E12" s="5">
        <f>D13*'Параметры'!$D$47</f>
        <v/>
      </c>
      <c r="F12" s="5">
        <f>E13*'Параметры'!$D$47</f>
        <v/>
      </c>
      <c r="G12" s="5">
        <f>F13*'Параметры'!$D$47</f>
        <v/>
      </c>
      <c r="H12" s="5">
        <f>G13*'Параметры'!$D$47</f>
        <v/>
      </c>
      <c r="I12" s="5">
        <f>H13*'Параметры'!$D$47</f>
        <v/>
      </c>
      <c r="J12" s="5">
        <f>I13*'Параметры'!$D$47</f>
        <v/>
      </c>
      <c r="K12" s="5">
        <f>J13*'Параметры'!$D$47</f>
        <v/>
      </c>
      <c r="L12" s="5">
        <f>K13*'Параметры'!$D$47</f>
        <v/>
      </c>
      <c r="M12" s="5">
        <f>L13*'Параметры'!$D$47</f>
        <v/>
      </c>
      <c r="N12" s="5">
        <f>M13*'Параметры'!$D$47</f>
        <v/>
      </c>
      <c r="O12" s="5">
        <f>N13*'Параметры'!$D$47</f>
        <v/>
      </c>
      <c r="P12" s="5">
        <f>O13*'Параметры'!$D$47</f>
        <v/>
      </c>
      <c r="Q12" s="5">
        <f>P13*'Параметры'!$D$47</f>
        <v/>
      </c>
      <c r="R12" s="5">
        <f>Q13*'Параметры'!$D$47</f>
        <v/>
      </c>
      <c r="S12" s="5">
        <f>R13*'Параметры'!$D$47</f>
        <v/>
      </c>
      <c r="T12" s="5">
        <f>S13*'Параметры'!$D$47</f>
        <v/>
      </c>
      <c r="U12" s="5">
        <f>T13*'Параметры'!$D$47</f>
        <v/>
      </c>
      <c r="V12" s="5">
        <f>U13*'Параметры'!$D$47</f>
        <v/>
      </c>
      <c r="W12" s="5">
        <f>V13*'Параметры'!$D$47</f>
        <v/>
      </c>
      <c r="X12" s="5">
        <f>W13*'Параметры'!$D$47</f>
        <v/>
      </c>
      <c r="Y12" s="5">
        <f>X13*'Параметры'!$D$47</f>
        <v/>
      </c>
    </row>
    <row r="13">
      <c r="A13" s="9" t="inlineStr">
        <is>
          <t>Активные подписчики</t>
        </is>
      </c>
      <c r="B13" s="16">
        <f>B9</f>
        <v/>
      </c>
      <c r="C13" s="16">
        <f>B13+C9-C12</f>
        <v/>
      </c>
      <c r="D13" s="16">
        <f>C13+D9-D12</f>
        <v/>
      </c>
      <c r="E13" s="16">
        <f>D13+E9-E12</f>
        <v/>
      </c>
      <c r="F13" s="16">
        <f>E13+F9-F12</f>
        <v/>
      </c>
      <c r="G13" s="16">
        <f>F13+G9-G12</f>
        <v/>
      </c>
      <c r="H13" s="16">
        <f>G13+H9-H12</f>
        <v/>
      </c>
      <c r="I13" s="16">
        <f>H13+I9-I12</f>
        <v/>
      </c>
      <c r="J13" s="16">
        <f>I13+J9-J12</f>
        <v/>
      </c>
      <c r="K13" s="16">
        <f>J13+K9-K12</f>
        <v/>
      </c>
      <c r="L13" s="16">
        <f>K13+L9-L12</f>
        <v/>
      </c>
      <c r="M13" s="16">
        <f>L13+M9-M12</f>
        <v/>
      </c>
      <c r="N13" s="16">
        <f>M13+N9-N12</f>
        <v/>
      </c>
      <c r="O13" s="16">
        <f>N13+O9-O12</f>
        <v/>
      </c>
      <c r="P13" s="16">
        <f>O13+P9-P12</f>
        <v/>
      </c>
      <c r="Q13" s="16">
        <f>P13+Q9-Q12</f>
        <v/>
      </c>
      <c r="R13" s="16">
        <f>Q13+R9-R12</f>
        <v/>
      </c>
      <c r="S13" s="16">
        <f>R13+S9-S12</f>
        <v/>
      </c>
      <c r="T13" s="16">
        <f>S13+T9-T12</f>
        <v/>
      </c>
      <c r="U13" s="16">
        <f>T13+U9-U12</f>
        <v/>
      </c>
      <c r="V13" s="16">
        <f>U13+V9-V12</f>
        <v/>
      </c>
      <c r="W13" s="16">
        <f>V13+W9-W12</f>
        <v/>
      </c>
      <c r="X13" s="16">
        <f>W13+X9-X12</f>
        <v/>
      </c>
      <c r="Y13" s="16">
        <f>X13+Y9-Y12</f>
        <v/>
      </c>
    </row>
    <row r="14">
      <c r="A14" s="4" t="inlineStr">
        <is>
          <t xml:space="preserve">  из них Старт</t>
        </is>
      </c>
      <c r="B14" s="5">
        <f>B13*'Параметры'!$D$49</f>
        <v/>
      </c>
      <c r="C14" s="5">
        <f>C13*'Параметры'!$D$49</f>
        <v/>
      </c>
      <c r="D14" s="5">
        <f>D13*'Параметры'!$D$49</f>
        <v/>
      </c>
      <c r="E14" s="5">
        <f>E13*'Параметры'!$D$49</f>
        <v/>
      </c>
      <c r="F14" s="5">
        <f>F13*'Параметры'!$D$49</f>
        <v/>
      </c>
      <c r="G14" s="5">
        <f>G13*'Параметры'!$D$49</f>
        <v/>
      </c>
      <c r="H14" s="5">
        <f>H13*'Параметры'!$D$49</f>
        <v/>
      </c>
      <c r="I14" s="5">
        <f>I13*'Параметры'!$D$49</f>
        <v/>
      </c>
      <c r="J14" s="5">
        <f>J13*'Параметры'!$D$49</f>
        <v/>
      </c>
      <c r="K14" s="5">
        <f>K13*'Параметры'!$D$49</f>
        <v/>
      </c>
      <c r="L14" s="5">
        <f>L13*'Параметры'!$D$49</f>
        <v/>
      </c>
      <c r="M14" s="5">
        <f>M13*'Параметры'!$D$49</f>
        <v/>
      </c>
      <c r="N14" s="5">
        <f>N13*'Параметры'!$D$49</f>
        <v/>
      </c>
      <c r="O14" s="5">
        <f>O13*'Параметры'!$D$49</f>
        <v/>
      </c>
      <c r="P14" s="5">
        <f>P13*'Параметры'!$D$49</f>
        <v/>
      </c>
      <c r="Q14" s="5">
        <f>Q13*'Параметры'!$D$49</f>
        <v/>
      </c>
      <c r="R14" s="5">
        <f>R13*'Параметры'!$D$49</f>
        <v/>
      </c>
      <c r="S14" s="5">
        <f>S13*'Параметры'!$D$49</f>
        <v/>
      </c>
      <c r="T14" s="5">
        <f>T13*'Параметры'!$D$49</f>
        <v/>
      </c>
      <c r="U14" s="5">
        <f>U13*'Параметры'!$D$49</f>
        <v/>
      </c>
      <c r="V14" s="5">
        <f>V13*'Параметры'!$D$49</f>
        <v/>
      </c>
      <c r="W14" s="5">
        <f>W13*'Параметры'!$D$49</f>
        <v/>
      </c>
      <c r="X14" s="5">
        <f>X13*'Параметры'!$D$49</f>
        <v/>
      </c>
      <c r="Y14" s="5">
        <f>Y13*'Параметры'!$D$49</f>
        <v/>
      </c>
    </row>
    <row r="15">
      <c r="A15" s="4" t="inlineStr">
        <is>
          <t xml:space="preserve">  из них Про</t>
        </is>
      </c>
      <c r="B15" s="5">
        <f>B13*'Параметры'!$D$50</f>
        <v/>
      </c>
      <c r="C15" s="5">
        <f>C13*'Параметры'!$D$50</f>
        <v/>
      </c>
      <c r="D15" s="5">
        <f>D13*'Параметры'!$D$50</f>
        <v/>
      </c>
      <c r="E15" s="5">
        <f>E13*'Параметры'!$D$50</f>
        <v/>
      </c>
      <c r="F15" s="5">
        <f>F13*'Параметры'!$D$50</f>
        <v/>
      </c>
      <c r="G15" s="5">
        <f>G13*'Параметры'!$D$50</f>
        <v/>
      </c>
      <c r="H15" s="5">
        <f>H13*'Параметры'!$D$50</f>
        <v/>
      </c>
      <c r="I15" s="5">
        <f>I13*'Параметры'!$D$50</f>
        <v/>
      </c>
      <c r="J15" s="5">
        <f>J13*'Параметры'!$D$50</f>
        <v/>
      </c>
      <c r="K15" s="5">
        <f>K13*'Параметры'!$D$50</f>
        <v/>
      </c>
      <c r="L15" s="5">
        <f>L13*'Параметры'!$D$50</f>
        <v/>
      </c>
      <c r="M15" s="5">
        <f>M13*'Параметры'!$D$50</f>
        <v/>
      </c>
      <c r="N15" s="5">
        <f>N13*'Параметры'!$D$50</f>
        <v/>
      </c>
      <c r="O15" s="5">
        <f>O13*'Параметры'!$D$50</f>
        <v/>
      </c>
      <c r="P15" s="5">
        <f>P13*'Параметры'!$D$50</f>
        <v/>
      </c>
      <c r="Q15" s="5">
        <f>Q13*'Параметры'!$D$50</f>
        <v/>
      </c>
      <c r="R15" s="5">
        <f>R13*'Параметры'!$D$50</f>
        <v/>
      </c>
      <c r="S15" s="5">
        <f>S13*'Параметры'!$D$50</f>
        <v/>
      </c>
      <c r="T15" s="5">
        <f>T13*'Параметры'!$D$50</f>
        <v/>
      </c>
      <c r="U15" s="5">
        <f>U13*'Параметры'!$D$50</f>
        <v/>
      </c>
      <c r="V15" s="5">
        <f>V13*'Параметры'!$D$50</f>
        <v/>
      </c>
      <c r="W15" s="5">
        <f>W13*'Параметры'!$D$50</f>
        <v/>
      </c>
      <c r="X15" s="5">
        <f>X13*'Параметры'!$D$50</f>
        <v/>
      </c>
      <c r="Y15" s="5">
        <f>Y13*'Параметры'!$D$50</f>
        <v/>
      </c>
    </row>
    <row r="16">
      <c r="A16" s="4" t="inlineStr">
        <is>
          <t xml:space="preserve">  из них Ультра</t>
        </is>
      </c>
      <c r="B16" s="5">
        <f>B13*'Параметры'!$D$51</f>
        <v/>
      </c>
      <c r="C16" s="5">
        <f>C13*'Параметры'!$D$51</f>
        <v/>
      </c>
      <c r="D16" s="5">
        <f>D13*'Параметры'!$D$51</f>
        <v/>
      </c>
      <c r="E16" s="5">
        <f>E13*'Параметры'!$D$51</f>
        <v/>
      </c>
      <c r="F16" s="5">
        <f>F13*'Параметры'!$D$51</f>
        <v/>
      </c>
      <c r="G16" s="5">
        <f>G13*'Параметры'!$D$51</f>
        <v/>
      </c>
      <c r="H16" s="5">
        <f>H13*'Параметры'!$D$51</f>
        <v/>
      </c>
      <c r="I16" s="5">
        <f>I13*'Параметры'!$D$51</f>
        <v/>
      </c>
      <c r="J16" s="5">
        <f>J13*'Параметры'!$D$51</f>
        <v/>
      </c>
      <c r="K16" s="5">
        <f>K13*'Параметры'!$D$51</f>
        <v/>
      </c>
      <c r="L16" s="5">
        <f>L13*'Параметры'!$D$51</f>
        <v/>
      </c>
      <c r="M16" s="5">
        <f>M13*'Параметры'!$D$51</f>
        <v/>
      </c>
      <c r="N16" s="5">
        <f>N13*'Параметры'!$D$51</f>
        <v/>
      </c>
      <c r="O16" s="5">
        <f>O13*'Параметры'!$D$51</f>
        <v/>
      </c>
      <c r="P16" s="5">
        <f>P13*'Параметры'!$D$51</f>
        <v/>
      </c>
      <c r="Q16" s="5">
        <f>Q13*'Параметры'!$D$51</f>
        <v/>
      </c>
      <c r="R16" s="5">
        <f>R13*'Параметры'!$D$51</f>
        <v/>
      </c>
      <c r="S16" s="5">
        <f>S13*'Параметры'!$D$51</f>
        <v/>
      </c>
      <c r="T16" s="5">
        <f>T13*'Параметры'!$D$51</f>
        <v/>
      </c>
      <c r="U16" s="5">
        <f>U13*'Параметры'!$D$51</f>
        <v/>
      </c>
      <c r="V16" s="5">
        <f>V13*'Параметры'!$D$51</f>
        <v/>
      </c>
      <c r="W16" s="5">
        <f>W13*'Параметры'!$D$51</f>
        <v/>
      </c>
      <c r="X16" s="5">
        <f>X13*'Параметры'!$D$51</f>
        <v/>
      </c>
      <c r="Y16" s="5">
        <f>Y13*'Параметры'!$D$51</f>
        <v/>
      </c>
    </row>
    <row r="17">
      <c r="A17" s="9" t="inlineStr">
        <is>
          <t>Выручка</t>
        </is>
      </c>
    </row>
    <row r="18">
      <c r="A18" s="4" t="inlineStr">
        <is>
          <t>Подписки</t>
        </is>
      </c>
      <c r="B18" s="6">
        <f>B14*'Параметры'!$D$6+B15*'Параметры'!$D$7+B16*'Параметры'!$D$8</f>
        <v/>
      </c>
      <c r="C18" s="6">
        <f>C14*'Параметры'!$D$6+C15*'Параметры'!$D$7+C16*'Параметры'!$D$8</f>
        <v/>
      </c>
      <c r="D18" s="6">
        <f>D14*'Параметры'!$D$6+D15*'Параметры'!$D$7+D16*'Параметры'!$D$8</f>
        <v/>
      </c>
      <c r="E18" s="6">
        <f>E14*'Параметры'!$D$6+E15*'Параметры'!$D$7+E16*'Параметры'!$D$8</f>
        <v/>
      </c>
      <c r="F18" s="6">
        <f>F14*'Параметры'!$D$6+F15*'Параметры'!$D$7+F16*'Параметры'!$D$8</f>
        <v/>
      </c>
      <c r="G18" s="6">
        <f>G14*'Параметры'!$D$6+G15*'Параметры'!$D$7+G16*'Параметры'!$D$8</f>
        <v/>
      </c>
      <c r="H18" s="6">
        <f>H14*'Параметры'!$D$6+H15*'Параметры'!$D$7+H16*'Параметры'!$D$8</f>
        <v/>
      </c>
      <c r="I18" s="6">
        <f>I14*'Параметры'!$D$6+I15*'Параметры'!$D$7+I16*'Параметры'!$D$8</f>
        <v/>
      </c>
      <c r="J18" s="6">
        <f>J14*'Параметры'!$D$6+J15*'Параметры'!$D$7+J16*'Параметры'!$D$8</f>
        <v/>
      </c>
      <c r="K18" s="6">
        <f>K14*'Параметры'!$D$6+K15*'Параметры'!$D$7+K16*'Параметры'!$D$8</f>
        <v/>
      </c>
      <c r="L18" s="6">
        <f>L14*'Параметры'!$D$6+L15*'Параметры'!$D$7+L16*'Параметры'!$D$8</f>
        <v/>
      </c>
      <c r="M18" s="6">
        <f>M14*'Параметры'!$D$6+M15*'Параметры'!$D$7+M16*'Параметры'!$D$8</f>
        <v/>
      </c>
      <c r="N18" s="6">
        <f>N14*'Параметры'!$D$6+N15*'Параметры'!$D$7+N16*'Параметры'!$D$8</f>
        <v/>
      </c>
      <c r="O18" s="6">
        <f>O14*'Параметры'!$D$6+O15*'Параметры'!$D$7+O16*'Параметры'!$D$8</f>
        <v/>
      </c>
      <c r="P18" s="6">
        <f>P14*'Параметры'!$D$6+P15*'Параметры'!$D$7+P16*'Параметры'!$D$8</f>
        <v/>
      </c>
      <c r="Q18" s="6">
        <f>Q14*'Параметры'!$D$6+Q15*'Параметры'!$D$7+Q16*'Параметры'!$D$8</f>
        <v/>
      </c>
      <c r="R18" s="6">
        <f>R14*'Параметры'!$D$6+R15*'Параметры'!$D$7+R16*'Параметры'!$D$8</f>
        <v/>
      </c>
      <c r="S18" s="6">
        <f>S14*'Параметры'!$D$6+S15*'Параметры'!$D$7+S16*'Параметры'!$D$8</f>
        <v/>
      </c>
      <c r="T18" s="6">
        <f>T14*'Параметры'!$D$6+T15*'Параметры'!$D$7+T16*'Параметры'!$D$8</f>
        <v/>
      </c>
      <c r="U18" s="6">
        <f>U14*'Параметры'!$D$6+U15*'Параметры'!$D$7+U16*'Параметры'!$D$8</f>
        <v/>
      </c>
      <c r="V18" s="6">
        <f>V14*'Параметры'!$D$6+V15*'Параметры'!$D$7+V16*'Параметры'!$D$8</f>
        <v/>
      </c>
      <c r="W18" s="6">
        <f>W14*'Параметры'!$D$6+W15*'Параметры'!$D$7+W16*'Параметры'!$D$8</f>
        <v/>
      </c>
      <c r="X18" s="6">
        <f>X14*'Параметры'!$D$6+X15*'Параметры'!$D$7+X16*'Параметры'!$D$8</f>
        <v/>
      </c>
      <c r="Y18" s="6">
        <f>Y14*'Параметры'!$D$6+Y15*'Параметры'!$D$7+Y16*'Параметры'!$D$8</f>
        <v/>
      </c>
    </row>
    <row r="19">
      <c r="A19" s="4" t="inlineStr">
        <is>
          <t>Разовые аудиты</t>
        </is>
      </c>
      <c r="B19" s="6">
        <f>B10*'Параметры'!$D$9</f>
        <v/>
      </c>
      <c r="C19" s="6">
        <f>C10*'Параметры'!$D$9</f>
        <v/>
      </c>
      <c r="D19" s="6">
        <f>D10*'Параметры'!$D$9</f>
        <v/>
      </c>
      <c r="E19" s="6">
        <f>E10*'Параметры'!$D$9</f>
        <v/>
      </c>
      <c r="F19" s="6">
        <f>F10*'Параметры'!$D$9</f>
        <v/>
      </c>
      <c r="G19" s="6">
        <f>G10*'Параметры'!$D$9</f>
        <v/>
      </c>
      <c r="H19" s="6">
        <f>H10*'Параметры'!$D$9</f>
        <v/>
      </c>
      <c r="I19" s="6">
        <f>I10*'Параметры'!$D$9</f>
        <v/>
      </c>
      <c r="J19" s="6">
        <f>J10*'Параметры'!$D$9</f>
        <v/>
      </c>
      <c r="K19" s="6">
        <f>K10*'Параметры'!$D$9</f>
        <v/>
      </c>
      <c r="L19" s="6">
        <f>L10*'Параметры'!$D$9</f>
        <v/>
      </c>
      <c r="M19" s="6">
        <f>M10*'Параметры'!$D$9</f>
        <v/>
      </c>
      <c r="N19" s="6">
        <f>N10*'Параметры'!$D$9</f>
        <v/>
      </c>
      <c r="O19" s="6">
        <f>O10*'Параметры'!$D$9</f>
        <v/>
      </c>
      <c r="P19" s="6">
        <f>P10*'Параметры'!$D$9</f>
        <v/>
      </c>
      <c r="Q19" s="6">
        <f>Q10*'Параметры'!$D$9</f>
        <v/>
      </c>
      <c r="R19" s="6">
        <f>R10*'Параметры'!$D$9</f>
        <v/>
      </c>
      <c r="S19" s="6">
        <f>S10*'Параметры'!$D$9</f>
        <v/>
      </c>
      <c r="T19" s="6">
        <f>T10*'Параметры'!$D$9</f>
        <v/>
      </c>
      <c r="U19" s="6">
        <f>U10*'Параметры'!$D$9</f>
        <v/>
      </c>
      <c r="V19" s="6">
        <f>V10*'Параметры'!$D$9</f>
        <v/>
      </c>
      <c r="W19" s="6">
        <f>W10*'Параметры'!$D$9</f>
        <v/>
      </c>
      <c r="X19" s="6">
        <f>X10*'Параметры'!$D$9</f>
        <v/>
      </c>
      <c r="Y19" s="6">
        <f>Y10*'Параметры'!$D$9</f>
        <v/>
      </c>
    </row>
    <row r="20">
      <c r="A20" s="9" t="inlineStr">
        <is>
          <t>Выручка всего</t>
        </is>
      </c>
      <c r="B20" s="8">
        <f>B18+B19</f>
        <v/>
      </c>
      <c r="C20" s="8">
        <f>C18+C19</f>
        <v/>
      </c>
      <c r="D20" s="8">
        <f>D18+D19</f>
        <v/>
      </c>
      <c r="E20" s="8">
        <f>E18+E19</f>
        <v/>
      </c>
      <c r="F20" s="8">
        <f>F18+F19</f>
        <v/>
      </c>
      <c r="G20" s="8">
        <f>G18+G19</f>
        <v/>
      </c>
      <c r="H20" s="8">
        <f>H18+H19</f>
        <v/>
      </c>
      <c r="I20" s="8">
        <f>I18+I19</f>
        <v/>
      </c>
      <c r="J20" s="8">
        <f>J18+J19</f>
        <v/>
      </c>
      <c r="K20" s="8">
        <f>K18+K19</f>
        <v/>
      </c>
      <c r="L20" s="8">
        <f>L18+L19</f>
        <v/>
      </c>
      <c r="M20" s="8">
        <f>M18+M19</f>
        <v/>
      </c>
      <c r="N20" s="8">
        <f>N18+N19</f>
        <v/>
      </c>
      <c r="O20" s="8">
        <f>O18+O19</f>
        <v/>
      </c>
      <c r="P20" s="8">
        <f>P18+P19</f>
        <v/>
      </c>
      <c r="Q20" s="8">
        <f>Q18+Q19</f>
        <v/>
      </c>
      <c r="R20" s="8">
        <f>R18+R19</f>
        <v/>
      </c>
      <c r="S20" s="8">
        <f>S18+S19</f>
        <v/>
      </c>
      <c r="T20" s="8">
        <f>T18+T19</f>
        <v/>
      </c>
      <c r="U20" s="8">
        <f>U18+U19</f>
        <v/>
      </c>
      <c r="V20" s="8">
        <f>V18+V19</f>
        <v/>
      </c>
      <c r="W20" s="8">
        <f>W18+W19</f>
        <v/>
      </c>
      <c r="X20" s="8">
        <f>X18+X19</f>
        <v/>
      </c>
      <c r="Y20" s="8">
        <f>Y18+Y19</f>
        <v/>
      </c>
    </row>
    <row r="21">
      <c r="A21" s="9" t="inlineStr">
        <is>
          <t>Переменные расходы</t>
        </is>
      </c>
    </row>
    <row r="22">
      <c r="A22" s="4" t="inlineStr">
        <is>
          <t>API Яндекса: подписчики</t>
        </is>
      </c>
      <c r="B22" s="6">
        <f>(B14*'Параметры'!$D$11+B15*'Параметры'!$D$12+B16*'Параметры'!$D$13)*'Параметры'!$D$16</f>
        <v/>
      </c>
      <c r="C22" s="6">
        <f>(C14*'Параметры'!$D$11+C15*'Параметры'!$D$12+C16*'Параметры'!$D$13)*'Параметры'!$D$16</f>
        <v/>
      </c>
      <c r="D22" s="6">
        <f>(D14*'Параметры'!$D$11+D15*'Параметры'!$D$12+D16*'Параметры'!$D$13)*'Параметры'!$D$16</f>
        <v/>
      </c>
      <c r="E22" s="6">
        <f>(E14*'Параметры'!$D$11+E15*'Параметры'!$D$12+E16*'Параметры'!$D$13)*'Параметры'!$D$16</f>
        <v/>
      </c>
      <c r="F22" s="6">
        <f>(F14*'Параметры'!$D$11+F15*'Параметры'!$D$12+F16*'Параметры'!$D$13)*'Параметры'!$D$16</f>
        <v/>
      </c>
      <c r="G22" s="6">
        <f>(G14*'Параметры'!$D$11+G15*'Параметры'!$D$12+G16*'Параметры'!$D$13)*'Параметры'!$D$16</f>
        <v/>
      </c>
      <c r="H22" s="6">
        <f>(H14*'Параметры'!$D$11+H15*'Параметры'!$D$12+H16*'Параметры'!$D$13)*'Параметры'!$D$16</f>
        <v/>
      </c>
      <c r="I22" s="6">
        <f>(I14*'Параметры'!$D$11+I15*'Параметры'!$D$12+I16*'Параметры'!$D$13)*'Параметры'!$D$16</f>
        <v/>
      </c>
      <c r="J22" s="6">
        <f>(J14*'Параметры'!$D$11+J15*'Параметры'!$D$12+J16*'Параметры'!$D$13)*'Параметры'!$D$16</f>
        <v/>
      </c>
      <c r="K22" s="6">
        <f>(K14*'Параметры'!$D$11+K15*'Параметры'!$D$12+K16*'Параметры'!$D$13)*'Параметры'!$D$16</f>
        <v/>
      </c>
      <c r="L22" s="6">
        <f>(L14*'Параметры'!$D$11+L15*'Параметры'!$D$12+L16*'Параметры'!$D$13)*'Параметры'!$D$16</f>
        <v/>
      </c>
      <c r="M22" s="6">
        <f>(M14*'Параметры'!$D$11+M15*'Параметры'!$D$12+M16*'Параметры'!$D$13)*'Параметры'!$D$16</f>
        <v/>
      </c>
      <c r="N22" s="6">
        <f>(N14*'Параметры'!$D$11+N15*'Параметры'!$D$12+N16*'Параметры'!$D$13)*'Параметры'!$D$16</f>
        <v/>
      </c>
      <c r="O22" s="6">
        <f>(O14*'Параметры'!$D$11+O15*'Параметры'!$D$12+O16*'Параметры'!$D$13)*'Параметры'!$D$16</f>
        <v/>
      </c>
      <c r="P22" s="6">
        <f>(P14*'Параметры'!$D$11+P15*'Параметры'!$D$12+P16*'Параметры'!$D$13)*'Параметры'!$D$16</f>
        <v/>
      </c>
      <c r="Q22" s="6">
        <f>(Q14*'Параметры'!$D$11+Q15*'Параметры'!$D$12+Q16*'Параметры'!$D$13)*'Параметры'!$D$16</f>
        <v/>
      </c>
      <c r="R22" s="6">
        <f>(R14*'Параметры'!$D$11+R15*'Параметры'!$D$12+R16*'Параметры'!$D$13)*'Параметры'!$D$16</f>
        <v/>
      </c>
      <c r="S22" s="6">
        <f>(S14*'Параметры'!$D$11+S15*'Параметры'!$D$12+S16*'Параметры'!$D$13)*'Параметры'!$D$16</f>
        <v/>
      </c>
      <c r="T22" s="6">
        <f>(T14*'Параметры'!$D$11+T15*'Параметры'!$D$12+T16*'Параметры'!$D$13)*'Параметры'!$D$16</f>
        <v/>
      </c>
      <c r="U22" s="6">
        <f>(U14*'Параметры'!$D$11+U15*'Параметры'!$D$12+U16*'Параметры'!$D$13)*'Параметры'!$D$16</f>
        <v/>
      </c>
      <c r="V22" s="6">
        <f>(V14*'Параметры'!$D$11+V15*'Параметры'!$D$12+V16*'Параметры'!$D$13)*'Параметры'!$D$16</f>
        <v/>
      </c>
      <c r="W22" s="6">
        <f>(W14*'Параметры'!$D$11+W15*'Параметры'!$D$12+W16*'Параметры'!$D$13)*'Параметры'!$D$16</f>
        <v/>
      </c>
      <c r="X22" s="6">
        <f>(X14*'Параметры'!$D$11+X15*'Параметры'!$D$12+X16*'Параметры'!$D$13)*'Параметры'!$D$16</f>
        <v/>
      </c>
      <c r="Y22" s="6">
        <f>(Y14*'Параметры'!$D$11+Y15*'Параметры'!$D$12+Y16*'Параметры'!$D$13)*'Параметры'!$D$16</f>
        <v/>
      </c>
    </row>
    <row r="23">
      <c r="A23" s="4" t="inlineStr">
        <is>
          <t>API Яндекса: разовые аудиты</t>
        </is>
      </c>
      <c r="B23" s="6">
        <f>B10*'Параметры'!$D$14</f>
        <v/>
      </c>
      <c r="C23" s="6">
        <f>C10*'Параметры'!$D$14</f>
        <v/>
      </c>
      <c r="D23" s="6">
        <f>D10*'Параметры'!$D$14</f>
        <v/>
      </c>
      <c r="E23" s="6">
        <f>E10*'Параметры'!$D$14</f>
        <v/>
      </c>
      <c r="F23" s="6">
        <f>F10*'Параметры'!$D$14</f>
        <v/>
      </c>
      <c r="G23" s="6">
        <f>G10*'Параметры'!$D$14</f>
        <v/>
      </c>
      <c r="H23" s="6">
        <f>H10*'Параметры'!$D$14</f>
        <v/>
      </c>
      <c r="I23" s="6">
        <f>I10*'Параметры'!$D$14</f>
        <v/>
      </c>
      <c r="J23" s="6">
        <f>J10*'Параметры'!$D$14</f>
        <v/>
      </c>
      <c r="K23" s="6">
        <f>K10*'Параметры'!$D$14</f>
        <v/>
      </c>
      <c r="L23" s="6">
        <f>L10*'Параметры'!$D$14</f>
        <v/>
      </c>
      <c r="M23" s="6">
        <f>M10*'Параметры'!$D$14</f>
        <v/>
      </c>
      <c r="N23" s="6">
        <f>N10*'Параметры'!$D$14</f>
        <v/>
      </c>
      <c r="O23" s="6">
        <f>O10*'Параметры'!$D$14</f>
        <v/>
      </c>
      <c r="P23" s="6">
        <f>P10*'Параметры'!$D$14</f>
        <v/>
      </c>
      <c r="Q23" s="6">
        <f>Q10*'Параметры'!$D$14</f>
        <v/>
      </c>
      <c r="R23" s="6">
        <f>R10*'Параметры'!$D$14</f>
        <v/>
      </c>
      <c r="S23" s="6">
        <f>S10*'Параметры'!$D$14</f>
        <v/>
      </c>
      <c r="T23" s="6">
        <f>T10*'Параметры'!$D$14</f>
        <v/>
      </c>
      <c r="U23" s="6">
        <f>U10*'Параметры'!$D$14</f>
        <v/>
      </c>
      <c r="V23" s="6">
        <f>V10*'Параметры'!$D$14</f>
        <v/>
      </c>
      <c r="W23" s="6">
        <f>W10*'Параметры'!$D$14</f>
        <v/>
      </c>
      <c r="X23" s="6">
        <f>X10*'Параметры'!$D$14</f>
        <v/>
      </c>
      <c r="Y23" s="6">
        <f>Y10*'Параметры'!$D$14</f>
        <v/>
      </c>
    </row>
    <row r="24">
      <c r="A24" s="4" t="inlineStr">
        <is>
          <t>API Яндекса: бесплатные проверки</t>
        </is>
      </c>
      <c r="B24" s="6">
        <f>B8*'Параметры'!$D$15</f>
        <v/>
      </c>
      <c r="C24" s="6">
        <f>C8*'Параметры'!$D$15</f>
        <v/>
      </c>
      <c r="D24" s="6">
        <f>D8*'Параметры'!$D$15</f>
        <v/>
      </c>
      <c r="E24" s="6">
        <f>E8*'Параметры'!$D$15</f>
        <v/>
      </c>
      <c r="F24" s="6">
        <f>F8*'Параметры'!$D$15</f>
        <v/>
      </c>
      <c r="G24" s="6">
        <f>G8*'Параметры'!$D$15</f>
        <v/>
      </c>
      <c r="H24" s="6">
        <f>H8*'Параметры'!$D$15</f>
        <v/>
      </c>
      <c r="I24" s="6">
        <f>I8*'Параметры'!$D$15</f>
        <v/>
      </c>
      <c r="J24" s="6">
        <f>J8*'Параметры'!$D$15</f>
        <v/>
      </c>
      <c r="K24" s="6">
        <f>K8*'Параметры'!$D$15</f>
        <v/>
      </c>
      <c r="L24" s="6">
        <f>L8*'Параметры'!$D$15</f>
        <v/>
      </c>
      <c r="M24" s="6">
        <f>M8*'Параметры'!$D$15</f>
        <v/>
      </c>
      <c r="N24" s="6">
        <f>N8*'Параметры'!$D$15</f>
        <v/>
      </c>
      <c r="O24" s="6">
        <f>O8*'Параметры'!$D$15</f>
        <v/>
      </c>
      <c r="P24" s="6">
        <f>P8*'Параметры'!$D$15</f>
        <v/>
      </c>
      <c r="Q24" s="6">
        <f>Q8*'Параметры'!$D$15</f>
        <v/>
      </c>
      <c r="R24" s="6">
        <f>R8*'Параметры'!$D$15</f>
        <v/>
      </c>
      <c r="S24" s="6">
        <f>S8*'Параметры'!$D$15</f>
        <v/>
      </c>
      <c r="T24" s="6">
        <f>T8*'Параметры'!$D$15</f>
        <v/>
      </c>
      <c r="U24" s="6">
        <f>U8*'Параметры'!$D$15</f>
        <v/>
      </c>
      <c r="V24" s="6">
        <f>V8*'Параметры'!$D$15</f>
        <v/>
      </c>
      <c r="W24" s="6">
        <f>W8*'Параметры'!$D$15</f>
        <v/>
      </c>
      <c r="X24" s="6">
        <f>X8*'Параметры'!$D$15</f>
        <v/>
      </c>
      <c r="Y24" s="6">
        <f>Y8*'Параметры'!$D$15</f>
        <v/>
      </c>
    </row>
    <row r="25">
      <c r="A25" s="4" t="inlineStr">
        <is>
          <t>LLM: тексты рекомендаций</t>
        </is>
      </c>
      <c r="B25" s="6">
        <f>(B14*'Параметры'!$D$20+B15*'Параметры'!$D$21+B16*'Параметры'!$D$22)*'Параметры'!$D$16*'Параметры'!$D$18+B10*'Параметры'!$D$18+B8*'Параметры'!$D$19</f>
        <v/>
      </c>
      <c r="C25" s="6">
        <f>(C14*'Параметры'!$D$20+C15*'Параметры'!$D$21+C16*'Параметры'!$D$22)*'Параметры'!$D$16*'Параметры'!$D$18+C10*'Параметры'!$D$18+C8*'Параметры'!$D$19</f>
        <v/>
      </c>
      <c r="D25" s="6">
        <f>(D14*'Параметры'!$D$20+D15*'Параметры'!$D$21+D16*'Параметры'!$D$22)*'Параметры'!$D$16*'Параметры'!$D$18+D10*'Параметры'!$D$18+D8*'Параметры'!$D$19</f>
        <v/>
      </c>
      <c r="E25" s="6">
        <f>(E14*'Параметры'!$D$20+E15*'Параметры'!$D$21+E16*'Параметры'!$D$22)*'Параметры'!$D$16*'Параметры'!$D$18+E10*'Параметры'!$D$18+E8*'Параметры'!$D$19</f>
        <v/>
      </c>
      <c r="F25" s="6">
        <f>(F14*'Параметры'!$D$20+F15*'Параметры'!$D$21+F16*'Параметры'!$D$22)*'Параметры'!$D$16*'Параметры'!$D$18+F10*'Параметры'!$D$18+F8*'Параметры'!$D$19</f>
        <v/>
      </c>
      <c r="G25" s="6">
        <f>(G14*'Параметры'!$D$20+G15*'Параметры'!$D$21+G16*'Параметры'!$D$22)*'Параметры'!$D$16*'Параметры'!$D$18+G10*'Параметры'!$D$18+G8*'Параметры'!$D$19</f>
        <v/>
      </c>
      <c r="H25" s="6">
        <f>(H14*'Параметры'!$D$20+H15*'Параметры'!$D$21+H16*'Параметры'!$D$22)*'Параметры'!$D$16*'Параметры'!$D$18+H10*'Параметры'!$D$18+H8*'Параметры'!$D$19</f>
        <v/>
      </c>
      <c r="I25" s="6">
        <f>(I14*'Параметры'!$D$20+I15*'Параметры'!$D$21+I16*'Параметры'!$D$22)*'Параметры'!$D$16*'Параметры'!$D$18+I10*'Параметры'!$D$18+I8*'Параметры'!$D$19</f>
        <v/>
      </c>
      <c r="J25" s="6">
        <f>(J14*'Параметры'!$D$20+J15*'Параметры'!$D$21+J16*'Параметры'!$D$22)*'Параметры'!$D$16*'Параметры'!$D$18+J10*'Параметры'!$D$18+J8*'Параметры'!$D$19</f>
        <v/>
      </c>
      <c r="K25" s="6">
        <f>(K14*'Параметры'!$D$20+K15*'Параметры'!$D$21+K16*'Параметры'!$D$22)*'Параметры'!$D$16*'Параметры'!$D$18+K10*'Параметры'!$D$18+K8*'Параметры'!$D$19</f>
        <v/>
      </c>
      <c r="L25" s="6">
        <f>(L14*'Параметры'!$D$20+L15*'Параметры'!$D$21+L16*'Параметры'!$D$22)*'Параметры'!$D$16*'Параметры'!$D$18+L10*'Параметры'!$D$18+L8*'Параметры'!$D$19</f>
        <v/>
      </c>
      <c r="M25" s="6">
        <f>(M14*'Параметры'!$D$20+M15*'Параметры'!$D$21+M16*'Параметры'!$D$22)*'Параметры'!$D$16*'Параметры'!$D$18+M10*'Параметры'!$D$18+M8*'Параметры'!$D$19</f>
        <v/>
      </c>
      <c r="N25" s="6">
        <f>(N14*'Параметры'!$D$20+N15*'Параметры'!$D$21+N16*'Параметры'!$D$22)*'Параметры'!$D$16*'Параметры'!$D$18+N10*'Параметры'!$D$18+N8*'Параметры'!$D$19</f>
        <v/>
      </c>
      <c r="O25" s="6">
        <f>(O14*'Параметры'!$D$20+O15*'Параметры'!$D$21+O16*'Параметры'!$D$22)*'Параметры'!$D$16*'Параметры'!$D$18+O10*'Параметры'!$D$18+O8*'Параметры'!$D$19</f>
        <v/>
      </c>
      <c r="P25" s="6">
        <f>(P14*'Параметры'!$D$20+P15*'Параметры'!$D$21+P16*'Параметры'!$D$22)*'Параметры'!$D$16*'Параметры'!$D$18+P10*'Параметры'!$D$18+P8*'Параметры'!$D$19</f>
        <v/>
      </c>
      <c r="Q25" s="6">
        <f>(Q14*'Параметры'!$D$20+Q15*'Параметры'!$D$21+Q16*'Параметры'!$D$22)*'Параметры'!$D$16*'Параметры'!$D$18+Q10*'Параметры'!$D$18+Q8*'Параметры'!$D$19</f>
        <v/>
      </c>
      <c r="R25" s="6">
        <f>(R14*'Параметры'!$D$20+R15*'Параметры'!$D$21+R16*'Параметры'!$D$22)*'Параметры'!$D$16*'Параметры'!$D$18+R10*'Параметры'!$D$18+R8*'Параметры'!$D$19</f>
        <v/>
      </c>
      <c r="S25" s="6">
        <f>(S14*'Параметры'!$D$20+S15*'Параметры'!$D$21+S16*'Параметры'!$D$22)*'Параметры'!$D$16*'Параметры'!$D$18+S10*'Параметры'!$D$18+S8*'Параметры'!$D$19</f>
        <v/>
      </c>
      <c r="T25" s="6">
        <f>(T14*'Параметры'!$D$20+T15*'Параметры'!$D$21+T16*'Параметры'!$D$22)*'Параметры'!$D$16*'Параметры'!$D$18+T10*'Параметры'!$D$18+T8*'Параметры'!$D$19</f>
        <v/>
      </c>
      <c r="U25" s="6">
        <f>(U14*'Параметры'!$D$20+U15*'Параметры'!$D$21+U16*'Параметры'!$D$22)*'Параметры'!$D$16*'Параметры'!$D$18+U10*'Параметры'!$D$18+U8*'Параметры'!$D$19</f>
        <v/>
      </c>
      <c r="V25" s="6">
        <f>(V14*'Параметры'!$D$20+V15*'Параметры'!$D$21+V16*'Параметры'!$D$22)*'Параметры'!$D$16*'Параметры'!$D$18+V10*'Параметры'!$D$18+V8*'Параметры'!$D$19</f>
        <v/>
      </c>
      <c r="W25" s="6">
        <f>(W14*'Параметры'!$D$20+W15*'Параметры'!$D$21+W16*'Параметры'!$D$22)*'Параметры'!$D$16*'Параметры'!$D$18+W10*'Параметры'!$D$18+W8*'Параметры'!$D$19</f>
        <v/>
      </c>
      <c r="X25" s="6">
        <f>(X14*'Параметры'!$D$20+X15*'Параметры'!$D$21+X16*'Параметры'!$D$22)*'Параметры'!$D$16*'Параметры'!$D$18+X10*'Параметры'!$D$18+X8*'Параметры'!$D$19</f>
        <v/>
      </c>
      <c r="Y25" s="6">
        <f>(Y14*'Параметры'!$D$20+Y15*'Параметры'!$D$21+Y16*'Параметры'!$D$22)*'Параметры'!$D$16*'Параметры'!$D$18+Y10*'Параметры'!$D$18+Y8*'Параметры'!$D$19</f>
        <v/>
      </c>
    </row>
    <row r="26">
      <c r="A26" s="4" t="inlineStr">
        <is>
          <t>Эквайринг</t>
        </is>
      </c>
      <c r="B26" s="6">
        <f>B20*'Параметры'!$D$24</f>
        <v/>
      </c>
      <c r="C26" s="6">
        <f>C20*'Параметры'!$D$24</f>
        <v/>
      </c>
      <c r="D26" s="6">
        <f>D20*'Параметры'!$D$24</f>
        <v/>
      </c>
      <c r="E26" s="6">
        <f>E20*'Параметры'!$D$24</f>
        <v/>
      </c>
      <c r="F26" s="6">
        <f>F20*'Параметры'!$D$24</f>
        <v/>
      </c>
      <c r="G26" s="6">
        <f>G20*'Параметры'!$D$24</f>
        <v/>
      </c>
      <c r="H26" s="6">
        <f>H20*'Параметры'!$D$24</f>
        <v/>
      </c>
      <c r="I26" s="6">
        <f>I20*'Параметры'!$D$24</f>
        <v/>
      </c>
      <c r="J26" s="6">
        <f>J20*'Параметры'!$D$24</f>
        <v/>
      </c>
      <c r="K26" s="6">
        <f>K20*'Параметры'!$D$24</f>
        <v/>
      </c>
      <c r="L26" s="6">
        <f>L20*'Параметры'!$D$24</f>
        <v/>
      </c>
      <c r="M26" s="6">
        <f>M20*'Параметры'!$D$24</f>
        <v/>
      </c>
      <c r="N26" s="6">
        <f>N20*'Параметры'!$D$24</f>
        <v/>
      </c>
      <c r="O26" s="6">
        <f>O20*'Параметры'!$D$24</f>
        <v/>
      </c>
      <c r="P26" s="6">
        <f>P20*'Параметры'!$D$24</f>
        <v/>
      </c>
      <c r="Q26" s="6">
        <f>Q20*'Параметры'!$D$24</f>
        <v/>
      </c>
      <c r="R26" s="6">
        <f>R20*'Параметры'!$D$24</f>
        <v/>
      </c>
      <c r="S26" s="6">
        <f>S20*'Параметры'!$D$24</f>
        <v/>
      </c>
      <c r="T26" s="6">
        <f>T20*'Параметры'!$D$24</f>
        <v/>
      </c>
      <c r="U26" s="6">
        <f>U20*'Параметры'!$D$24</f>
        <v/>
      </c>
      <c r="V26" s="6">
        <f>V20*'Параметры'!$D$24</f>
        <v/>
      </c>
      <c r="W26" s="6">
        <f>W20*'Параметры'!$D$24</f>
        <v/>
      </c>
      <c r="X26" s="6">
        <f>X20*'Параметры'!$D$24</f>
        <v/>
      </c>
      <c r="Y26" s="6">
        <f>Y20*'Параметры'!$D$24</f>
        <v/>
      </c>
    </row>
    <row r="27">
      <c r="A27" s="9" t="inlineStr">
        <is>
          <t>Налоги и взносы</t>
        </is>
      </c>
    </row>
    <row r="28">
      <c r="A28" s="4" t="inlineStr">
        <is>
          <t>Выручка за 12 месяцев (для порога НДС)</t>
        </is>
      </c>
      <c r="B28" s="8">
        <f>SUM(B20:B20)</f>
        <v/>
      </c>
      <c r="C28" s="8">
        <f>SUM(B20:C20)</f>
        <v/>
      </c>
      <c r="D28" s="8">
        <f>SUM(B20:D20)</f>
        <v/>
      </c>
      <c r="E28" s="8">
        <f>SUM(B20:E20)</f>
        <v/>
      </c>
      <c r="F28" s="8">
        <f>SUM(B20:F20)</f>
        <v/>
      </c>
      <c r="G28" s="8">
        <f>SUM(B20:G20)</f>
        <v/>
      </c>
      <c r="H28" s="8">
        <f>SUM(B20:H20)</f>
        <v/>
      </c>
      <c r="I28" s="8">
        <f>SUM(B20:I20)</f>
        <v/>
      </c>
      <c r="J28" s="8">
        <f>SUM(B20:J20)</f>
        <v/>
      </c>
      <c r="K28" s="8">
        <f>SUM(B20:K20)</f>
        <v/>
      </c>
      <c r="L28" s="8">
        <f>SUM(B20:L20)</f>
        <v/>
      </c>
      <c r="M28" s="8">
        <f>SUM(B20:M20)</f>
        <v/>
      </c>
      <c r="N28" s="8">
        <f>SUM(C20:N20)</f>
        <v/>
      </c>
      <c r="O28" s="8">
        <f>SUM(D20:O20)</f>
        <v/>
      </c>
      <c r="P28" s="8">
        <f>SUM(E20:P20)</f>
        <v/>
      </c>
      <c r="Q28" s="8">
        <f>SUM(F20:Q20)</f>
        <v/>
      </c>
      <c r="R28" s="8">
        <f>SUM(G20:R20)</f>
        <v/>
      </c>
      <c r="S28" s="8">
        <f>SUM(H20:S20)</f>
        <v/>
      </c>
      <c r="T28" s="8">
        <f>SUM(I20:T20)</f>
        <v/>
      </c>
      <c r="U28" s="8">
        <f>SUM(J20:U20)</f>
        <v/>
      </c>
      <c r="V28" s="8">
        <f>SUM(K20:V20)</f>
        <v/>
      </c>
      <c r="W28" s="8">
        <f>SUM(L20:W20)</f>
        <v/>
      </c>
      <c r="X28" s="8">
        <f>SUM(M20:X20)</f>
        <v/>
      </c>
      <c r="Y28" s="8">
        <f>SUM(N20:Y20)</f>
        <v/>
      </c>
    </row>
    <row r="29">
      <c r="A29" s="4" t="inlineStr">
        <is>
          <t>Налог УСН</t>
        </is>
      </c>
      <c r="B29" s="6">
        <f>B20*'Параметры'!$D$25</f>
        <v/>
      </c>
      <c r="C29" s="6">
        <f>C20*'Параметры'!$D$25</f>
        <v/>
      </c>
      <c r="D29" s="6">
        <f>D20*'Параметры'!$D$25</f>
        <v/>
      </c>
      <c r="E29" s="6">
        <f>E20*'Параметры'!$D$25</f>
        <v/>
      </c>
      <c r="F29" s="6">
        <f>F20*'Параметры'!$D$25</f>
        <v/>
      </c>
      <c r="G29" s="6">
        <f>G20*'Параметры'!$D$25</f>
        <v/>
      </c>
      <c r="H29" s="6">
        <f>H20*'Параметры'!$D$25</f>
        <v/>
      </c>
      <c r="I29" s="6">
        <f>I20*'Параметры'!$D$25</f>
        <v/>
      </c>
      <c r="J29" s="6">
        <f>J20*'Параметры'!$D$25</f>
        <v/>
      </c>
      <c r="K29" s="6">
        <f>K20*'Параметры'!$D$25</f>
        <v/>
      </c>
      <c r="L29" s="6">
        <f>L20*'Параметры'!$D$25</f>
        <v/>
      </c>
      <c r="M29" s="6">
        <f>M20*'Параметры'!$D$25</f>
        <v/>
      </c>
      <c r="N29" s="6">
        <f>N20*'Параметры'!$D$25</f>
        <v/>
      </c>
      <c r="O29" s="6">
        <f>O20*'Параметры'!$D$25</f>
        <v/>
      </c>
      <c r="P29" s="6">
        <f>P20*'Параметры'!$D$25</f>
        <v/>
      </c>
      <c r="Q29" s="6">
        <f>Q20*'Параметры'!$D$25</f>
        <v/>
      </c>
      <c r="R29" s="6">
        <f>R20*'Параметры'!$D$25</f>
        <v/>
      </c>
      <c r="S29" s="6">
        <f>S20*'Параметры'!$D$25</f>
        <v/>
      </c>
      <c r="T29" s="6">
        <f>T20*'Параметры'!$D$25</f>
        <v/>
      </c>
      <c r="U29" s="6">
        <f>U20*'Параметры'!$D$25</f>
        <v/>
      </c>
      <c r="V29" s="6">
        <f>V20*'Параметры'!$D$25</f>
        <v/>
      </c>
      <c r="W29" s="6">
        <f>W20*'Параметры'!$D$25</f>
        <v/>
      </c>
      <c r="X29" s="6">
        <f>X20*'Параметры'!$D$25</f>
        <v/>
      </c>
      <c r="Y29" s="6">
        <f>Y20*'Параметры'!$D$25</f>
        <v/>
      </c>
    </row>
    <row r="30">
      <c r="A30" s="4" t="inlineStr">
        <is>
          <t>НДС</t>
        </is>
      </c>
      <c r="B30" s="6">
        <f>IF(B28&gt;'Параметры'!$D$26,B20*'Параметры'!$D$27,0)</f>
        <v/>
      </c>
      <c r="C30" s="6">
        <f>IF(C28&gt;'Параметры'!$D$26,C20*'Параметры'!$D$27,0)</f>
        <v/>
      </c>
      <c r="D30" s="6">
        <f>IF(D28&gt;'Параметры'!$D$26,D20*'Параметры'!$D$27,0)</f>
        <v/>
      </c>
      <c r="E30" s="6">
        <f>IF(E28&gt;'Параметры'!$D$26,E20*'Параметры'!$D$27,0)</f>
        <v/>
      </c>
      <c r="F30" s="6">
        <f>IF(F28&gt;'Параметры'!$D$26,F20*'Параметры'!$D$27,0)</f>
        <v/>
      </c>
      <c r="G30" s="6">
        <f>IF(G28&gt;'Параметры'!$D$26,G20*'Параметры'!$D$27,0)</f>
        <v/>
      </c>
      <c r="H30" s="6">
        <f>IF(H28&gt;'Параметры'!$D$26,H20*'Параметры'!$D$27,0)</f>
        <v/>
      </c>
      <c r="I30" s="6">
        <f>IF(I28&gt;'Параметры'!$D$26,I20*'Параметры'!$D$27,0)</f>
        <v/>
      </c>
      <c r="J30" s="6">
        <f>IF(J28&gt;'Параметры'!$D$26,J20*'Параметры'!$D$27,0)</f>
        <v/>
      </c>
      <c r="K30" s="6">
        <f>IF(K28&gt;'Параметры'!$D$26,K20*'Параметры'!$D$27,0)</f>
        <v/>
      </c>
      <c r="L30" s="6">
        <f>IF(L28&gt;'Параметры'!$D$26,L20*'Параметры'!$D$27,0)</f>
        <v/>
      </c>
      <c r="M30" s="6">
        <f>IF(M28&gt;'Параметры'!$D$26,M20*'Параметры'!$D$27,0)</f>
        <v/>
      </c>
      <c r="N30" s="6">
        <f>IF(N28&gt;'Параметры'!$D$26,N20*'Параметры'!$D$27,0)</f>
        <v/>
      </c>
      <c r="O30" s="6">
        <f>IF(O28&gt;'Параметры'!$D$26,O20*'Параметры'!$D$27,0)</f>
        <v/>
      </c>
      <c r="P30" s="6">
        <f>IF(P28&gt;'Параметры'!$D$26,P20*'Параметры'!$D$27,0)</f>
        <v/>
      </c>
      <c r="Q30" s="6">
        <f>IF(Q28&gt;'Параметры'!$D$26,Q20*'Параметры'!$D$27,0)</f>
        <v/>
      </c>
      <c r="R30" s="6">
        <f>IF(R28&gt;'Параметры'!$D$26,R20*'Параметры'!$D$27,0)</f>
        <v/>
      </c>
      <c r="S30" s="6">
        <f>IF(S28&gt;'Параметры'!$D$26,S20*'Параметры'!$D$27,0)</f>
        <v/>
      </c>
      <c r="T30" s="6">
        <f>IF(T28&gt;'Параметры'!$D$26,T20*'Параметры'!$D$27,0)</f>
        <v/>
      </c>
      <c r="U30" s="6">
        <f>IF(U28&gt;'Параметры'!$D$26,U20*'Параметры'!$D$27,0)</f>
        <v/>
      </c>
      <c r="V30" s="6">
        <f>IF(V28&gt;'Параметры'!$D$26,V20*'Параметры'!$D$27,0)</f>
        <v/>
      </c>
      <c r="W30" s="6">
        <f>IF(W28&gt;'Параметры'!$D$26,W20*'Параметры'!$D$27,0)</f>
        <v/>
      </c>
      <c r="X30" s="6">
        <f>IF(X28&gt;'Параметры'!$D$26,X20*'Параметры'!$D$27,0)</f>
        <v/>
      </c>
      <c r="Y30" s="6">
        <f>IF(Y28&gt;'Параметры'!$D$26,Y20*'Параметры'!$D$27,0)</f>
        <v/>
      </c>
    </row>
    <row r="31">
      <c r="A31" s="4" t="inlineStr">
        <is>
          <t>Страховые взносы ИП</t>
        </is>
      </c>
      <c r="B31" s="6">
        <f>'Параметры'!$D$28/12+MAX(0,B20-'Параметры'!$D$29/12)*'Параметры'!$D$30</f>
        <v/>
      </c>
      <c r="C31" s="6">
        <f>'Параметры'!$D$28/12+MAX(0,C20-'Параметры'!$D$29/12)*'Параметры'!$D$30</f>
        <v/>
      </c>
      <c r="D31" s="6">
        <f>'Параметры'!$D$28/12+MAX(0,D20-'Параметры'!$D$29/12)*'Параметры'!$D$30</f>
        <v/>
      </c>
      <c r="E31" s="6">
        <f>'Параметры'!$D$28/12+MAX(0,E20-'Параметры'!$D$29/12)*'Параметры'!$D$30</f>
        <v/>
      </c>
      <c r="F31" s="6">
        <f>'Параметры'!$D$28/12+MAX(0,F20-'Параметры'!$D$29/12)*'Параметры'!$D$30</f>
        <v/>
      </c>
      <c r="G31" s="6">
        <f>'Параметры'!$D$28/12+MAX(0,G20-'Параметры'!$D$29/12)*'Параметры'!$D$30</f>
        <v/>
      </c>
      <c r="H31" s="6">
        <f>'Параметры'!$D$28/12+MAX(0,H20-'Параметры'!$D$29/12)*'Параметры'!$D$30</f>
        <v/>
      </c>
      <c r="I31" s="6">
        <f>'Параметры'!$D$28/12+MAX(0,I20-'Параметры'!$D$29/12)*'Параметры'!$D$30</f>
        <v/>
      </c>
      <c r="J31" s="6">
        <f>'Параметры'!$D$28/12+MAX(0,J20-'Параметры'!$D$29/12)*'Параметры'!$D$30</f>
        <v/>
      </c>
      <c r="K31" s="6">
        <f>'Параметры'!$D$28/12+MAX(0,K20-'Параметры'!$D$29/12)*'Параметры'!$D$30</f>
        <v/>
      </c>
      <c r="L31" s="6">
        <f>'Параметры'!$D$28/12+MAX(0,L20-'Параметры'!$D$29/12)*'Параметры'!$D$30</f>
        <v/>
      </c>
      <c r="M31" s="6">
        <f>'Параметры'!$D$28/12+MAX(0,M20-'Параметры'!$D$29/12)*'Параметры'!$D$30</f>
        <v/>
      </c>
      <c r="N31" s="6">
        <f>'Параметры'!$D$28/12+MAX(0,N20-'Параметры'!$D$29/12)*'Параметры'!$D$30</f>
        <v/>
      </c>
      <c r="O31" s="6">
        <f>'Параметры'!$D$28/12+MAX(0,O20-'Параметры'!$D$29/12)*'Параметры'!$D$30</f>
        <v/>
      </c>
      <c r="P31" s="6">
        <f>'Параметры'!$D$28/12+MAX(0,P20-'Параметры'!$D$29/12)*'Параметры'!$D$30</f>
        <v/>
      </c>
      <c r="Q31" s="6">
        <f>'Параметры'!$D$28/12+MAX(0,Q20-'Параметры'!$D$29/12)*'Параметры'!$D$30</f>
        <v/>
      </c>
      <c r="R31" s="6">
        <f>'Параметры'!$D$28/12+MAX(0,R20-'Параметры'!$D$29/12)*'Параметры'!$D$30</f>
        <v/>
      </c>
      <c r="S31" s="6">
        <f>'Параметры'!$D$28/12+MAX(0,S20-'Параметры'!$D$29/12)*'Параметры'!$D$30</f>
        <v/>
      </c>
      <c r="T31" s="6">
        <f>'Параметры'!$D$28/12+MAX(0,T20-'Параметры'!$D$29/12)*'Параметры'!$D$30</f>
        <v/>
      </c>
      <c r="U31" s="6">
        <f>'Параметры'!$D$28/12+MAX(0,U20-'Параметры'!$D$29/12)*'Параметры'!$D$30</f>
        <v/>
      </c>
      <c r="V31" s="6">
        <f>'Параметры'!$D$28/12+MAX(0,V20-'Параметры'!$D$29/12)*'Параметры'!$D$30</f>
        <v/>
      </c>
      <c r="W31" s="6">
        <f>'Параметры'!$D$28/12+MAX(0,W20-'Параметры'!$D$29/12)*'Параметры'!$D$30</f>
        <v/>
      </c>
      <c r="X31" s="6">
        <f>'Параметры'!$D$28/12+MAX(0,X20-'Параметры'!$D$29/12)*'Параметры'!$D$30</f>
        <v/>
      </c>
      <c r="Y31" s="6">
        <f>'Параметры'!$D$28/12+MAX(0,Y20-'Параметры'!$D$29/12)*'Параметры'!$D$30</f>
        <v/>
      </c>
    </row>
    <row r="32">
      <c r="A32" s="9" t="inlineStr">
        <is>
          <t>Постоянные расходы</t>
        </is>
      </c>
    </row>
    <row r="33">
      <c r="A33" s="4" t="inlineStr">
        <is>
          <t>Сервер, база, касса, домен, прочее</t>
        </is>
      </c>
      <c r="B33" s="6">
        <f>'Параметры'!$D$32+'Параметры'!$D$33+'Параметры'!$D$34+'Параметры'!$D$35+'Параметры'!$D$36</f>
        <v/>
      </c>
      <c r="C33" s="6">
        <f>'Параметры'!$D$32+'Параметры'!$D$33+'Параметры'!$D$34+'Параметры'!$D$35+'Параметры'!$D$36</f>
        <v/>
      </c>
      <c r="D33" s="6">
        <f>'Параметры'!$D$32+'Параметры'!$D$33+'Параметры'!$D$34+'Параметры'!$D$35+'Параметры'!$D$36</f>
        <v/>
      </c>
      <c r="E33" s="6">
        <f>'Параметры'!$D$32+'Параметры'!$D$33+'Параметры'!$D$34+'Параметры'!$D$35+'Параметры'!$D$36</f>
        <v/>
      </c>
      <c r="F33" s="6">
        <f>'Параметры'!$D$32+'Параметры'!$D$33+'Параметры'!$D$34+'Параметры'!$D$35+'Параметры'!$D$36</f>
        <v/>
      </c>
      <c r="G33" s="6">
        <f>'Параметры'!$D$32+'Параметры'!$D$33+'Параметры'!$D$34+'Параметры'!$D$35+'Параметры'!$D$36</f>
        <v/>
      </c>
      <c r="H33" s="6">
        <f>'Параметры'!$D$32+'Параметры'!$D$33+'Параметры'!$D$34+'Параметры'!$D$35+'Параметры'!$D$36</f>
        <v/>
      </c>
      <c r="I33" s="6">
        <f>'Параметры'!$D$32+'Параметры'!$D$33+'Параметры'!$D$34+'Параметры'!$D$35+'Параметры'!$D$36</f>
        <v/>
      </c>
      <c r="J33" s="6">
        <f>'Параметры'!$D$32+'Параметры'!$D$33+'Параметры'!$D$34+'Параметры'!$D$35+'Параметры'!$D$36</f>
        <v/>
      </c>
      <c r="K33" s="6">
        <f>'Параметры'!$D$32+'Параметры'!$D$33+'Параметры'!$D$34+'Параметры'!$D$35+'Параметры'!$D$36</f>
        <v/>
      </c>
      <c r="L33" s="6">
        <f>'Параметры'!$D$32+'Параметры'!$D$33+'Параметры'!$D$34+'Параметры'!$D$35+'Параметры'!$D$36</f>
        <v/>
      </c>
      <c r="M33" s="6">
        <f>'Параметры'!$D$32+'Параметры'!$D$33+'Параметры'!$D$34+'Параметры'!$D$35+'Параметры'!$D$36</f>
        <v/>
      </c>
      <c r="N33" s="6">
        <f>'Параметры'!$D$32+'Параметры'!$D$33+'Параметры'!$D$34+'Параметры'!$D$35+'Параметры'!$D$36</f>
        <v/>
      </c>
      <c r="O33" s="6">
        <f>'Параметры'!$D$32+'Параметры'!$D$33+'Параметры'!$D$34+'Параметры'!$D$35+'Параметры'!$D$36</f>
        <v/>
      </c>
      <c r="P33" s="6">
        <f>'Параметры'!$D$32+'Параметры'!$D$33+'Параметры'!$D$34+'Параметры'!$D$35+'Параметры'!$D$36</f>
        <v/>
      </c>
      <c r="Q33" s="6">
        <f>'Параметры'!$D$32+'Параметры'!$D$33+'Параметры'!$D$34+'Параметры'!$D$35+'Параметры'!$D$36</f>
        <v/>
      </c>
      <c r="R33" s="6">
        <f>'Параметры'!$D$32+'Параметры'!$D$33+'Параметры'!$D$34+'Параметры'!$D$35+'Параметры'!$D$36</f>
        <v/>
      </c>
      <c r="S33" s="6">
        <f>'Параметры'!$D$32+'Параметры'!$D$33+'Параметры'!$D$34+'Параметры'!$D$35+'Параметры'!$D$36</f>
        <v/>
      </c>
      <c r="T33" s="6">
        <f>'Параметры'!$D$32+'Параметры'!$D$33+'Параметры'!$D$34+'Параметры'!$D$35+'Параметры'!$D$36</f>
        <v/>
      </c>
      <c r="U33" s="6">
        <f>'Параметры'!$D$32+'Параметры'!$D$33+'Параметры'!$D$34+'Параметры'!$D$35+'Параметры'!$D$36</f>
        <v/>
      </c>
      <c r="V33" s="6">
        <f>'Параметры'!$D$32+'Параметры'!$D$33+'Параметры'!$D$34+'Параметры'!$D$35+'Параметры'!$D$36</f>
        <v/>
      </c>
      <c r="W33" s="6">
        <f>'Параметры'!$D$32+'Параметры'!$D$33+'Параметры'!$D$34+'Параметры'!$D$35+'Параметры'!$D$36</f>
        <v/>
      </c>
      <c r="X33" s="6">
        <f>'Параметры'!$D$32+'Параметры'!$D$33+'Параметры'!$D$34+'Параметры'!$D$35+'Параметры'!$D$36</f>
        <v/>
      </c>
      <c r="Y33" s="6">
        <f>'Параметры'!$D$32+'Параметры'!$D$33+'Параметры'!$D$34+'Параметры'!$D$35+'Параметры'!$D$36</f>
        <v/>
      </c>
    </row>
    <row r="34">
      <c r="A34" s="4" t="inlineStr">
        <is>
          <t>Реклама</t>
        </is>
      </c>
      <c r="B34" s="6">
        <f>'Параметры'!$D$41</f>
        <v/>
      </c>
      <c r="C34" s="6">
        <f>'Параметры'!$D$41</f>
        <v/>
      </c>
      <c r="D34" s="6">
        <f>'Параметры'!$D$41</f>
        <v/>
      </c>
      <c r="E34" s="6">
        <f>'Параметры'!$D$41</f>
        <v/>
      </c>
      <c r="F34" s="6">
        <f>'Параметры'!$D$41</f>
        <v/>
      </c>
      <c r="G34" s="6">
        <f>'Параметры'!$D$41</f>
        <v/>
      </c>
      <c r="H34" s="6">
        <f>'Параметры'!$D$41</f>
        <v/>
      </c>
      <c r="I34" s="6">
        <f>'Параметры'!$D$41</f>
        <v/>
      </c>
      <c r="J34" s="6">
        <f>'Параметры'!$D$41</f>
        <v/>
      </c>
      <c r="K34" s="6">
        <f>'Параметры'!$D$41</f>
        <v/>
      </c>
      <c r="L34" s="6">
        <f>'Параметры'!$D$41</f>
        <v/>
      </c>
      <c r="M34" s="6">
        <f>'Параметры'!$D$41</f>
        <v/>
      </c>
      <c r="N34" s="6">
        <f>'Параметры'!$D$41</f>
        <v/>
      </c>
      <c r="O34" s="6">
        <f>'Параметры'!$D$41</f>
        <v/>
      </c>
      <c r="P34" s="6">
        <f>'Параметры'!$D$41</f>
        <v/>
      </c>
      <c r="Q34" s="6">
        <f>'Параметры'!$D$41</f>
        <v/>
      </c>
      <c r="R34" s="6">
        <f>'Параметры'!$D$41</f>
        <v/>
      </c>
      <c r="S34" s="6">
        <f>'Параметры'!$D$41</f>
        <v/>
      </c>
      <c r="T34" s="6">
        <f>'Параметры'!$D$41</f>
        <v/>
      </c>
      <c r="U34" s="6">
        <f>'Параметры'!$D$41</f>
        <v/>
      </c>
      <c r="V34" s="6">
        <f>'Параметры'!$D$41</f>
        <v/>
      </c>
      <c r="W34" s="6">
        <f>'Параметры'!$D$41</f>
        <v/>
      </c>
      <c r="X34" s="6">
        <f>'Параметры'!$D$41</f>
        <v/>
      </c>
      <c r="Y34" s="6">
        <f>'Параметры'!$D$41</f>
        <v/>
      </c>
    </row>
    <row r="35">
      <c r="A35" s="4" t="inlineStr">
        <is>
          <t>Работа владельцев</t>
        </is>
      </c>
      <c r="B35" s="6">
        <f>'Параметры'!$D$37</f>
        <v/>
      </c>
      <c r="C35" s="6">
        <f>'Параметры'!$D$37</f>
        <v/>
      </c>
      <c r="D35" s="6">
        <f>'Параметры'!$D$37</f>
        <v/>
      </c>
      <c r="E35" s="6">
        <f>'Параметры'!$D$37</f>
        <v/>
      </c>
      <c r="F35" s="6">
        <f>'Параметры'!$D$37</f>
        <v/>
      </c>
      <c r="G35" s="6">
        <f>'Параметры'!$D$37</f>
        <v/>
      </c>
      <c r="H35" s="6">
        <f>'Параметры'!$D$37</f>
        <v/>
      </c>
      <c r="I35" s="6">
        <f>'Параметры'!$D$37</f>
        <v/>
      </c>
      <c r="J35" s="6">
        <f>'Параметры'!$D$37</f>
        <v/>
      </c>
      <c r="K35" s="6">
        <f>'Параметры'!$D$37</f>
        <v/>
      </c>
      <c r="L35" s="6">
        <f>'Параметры'!$D$37</f>
        <v/>
      </c>
      <c r="M35" s="6">
        <f>'Параметры'!$D$37</f>
        <v/>
      </c>
      <c r="N35" s="6">
        <f>'Параметры'!$D$37</f>
        <v/>
      </c>
      <c r="O35" s="6">
        <f>'Параметры'!$D$37</f>
        <v/>
      </c>
      <c r="P35" s="6">
        <f>'Параметры'!$D$37</f>
        <v/>
      </c>
      <c r="Q35" s="6">
        <f>'Параметры'!$D$37</f>
        <v/>
      </c>
      <c r="R35" s="6">
        <f>'Параметры'!$D$37</f>
        <v/>
      </c>
      <c r="S35" s="6">
        <f>'Параметры'!$D$37</f>
        <v/>
      </c>
      <c r="T35" s="6">
        <f>'Параметры'!$D$37</f>
        <v/>
      </c>
      <c r="U35" s="6">
        <f>'Параметры'!$D$37</f>
        <v/>
      </c>
      <c r="V35" s="6">
        <f>'Параметры'!$D$37</f>
        <v/>
      </c>
      <c r="W35" s="6">
        <f>'Параметры'!$D$37</f>
        <v/>
      </c>
      <c r="X35" s="6">
        <f>'Параметры'!$D$37</f>
        <v/>
      </c>
      <c r="Y35" s="6">
        <f>'Параметры'!$D$37</f>
        <v/>
      </c>
    </row>
    <row r="36">
      <c r="A36" s="9" t="inlineStr">
        <is>
          <t>Итог</t>
        </is>
      </c>
    </row>
    <row r="37">
      <c r="A37" s="9" t="inlineStr">
        <is>
          <t>Расходы всего</t>
        </is>
      </c>
      <c r="B37" s="8">
        <f>B22+B23+B24+B25+B26+B29+B30+B31+B33+B34+B35</f>
        <v/>
      </c>
      <c r="C37" s="8">
        <f>C22+C23+C24+C25+C26+C29+C30+C31+C33+C34+C35</f>
        <v/>
      </c>
      <c r="D37" s="8">
        <f>D22+D23+D24+D25+D26+D29+D30+D31+D33+D34+D35</f>
        <v/>
      </c>
      <c r="E37" s="8">
        <f>E22+E23+E24+E25+E26+E29+E30+E31+E33+E34+E35</f>
        <v/>
      </c>
      <c r="F37" s="8">
        <f>F22+F23+F24+F25+F26+F29+F30+F31+F33+F34+F35</f>
        <v/>
      </c>
      <c r="G37" s="8">
        <f>G22+G23+G24+G25+G26+G29+G30+G31+G33+G34+G35</f>
        <v/>
      </c>
      <c r="H37" s="8">
        <f>H22+H23+H24+H25+H26+H29+H30+H31+H33+H34+H35</f>
        <v/>
      </c>
      <c r="I37" s="8">
        <f>I22+I23+I24+I25+I26+I29+I30+I31+I33+I34+I35</f>
        <v/>
      </c>
      <c r="J37" s="8">
        <f>J22+J23+J24+J25+J26+J29+J30+J31+J33+J34+J35</f>
        <v/>
      </c>
      <c r="K37" s="8">
        <f>K22+K23+K24+K25+K26+K29+K30+K31+K33+K34+K35</f>
        <v/>
      </c>
      <c r="L37" s="8">
        <f>L22+L23+L24+L25+L26+L29+L30+L31+L33+L34+L35</f>
        <v/>
      </c>
      <c r="M37" s="8">
        <f>M22+M23+M24+M25+M26+M29+M30+M31+M33+M34+M35</f>
        <v/>
      </c>
      <c r="N37" s="8">
        <f>N22+N23+N24+N25+N26+N29+N30+N31+N33+N34+N35</f>
        <v/>
      </c>
      <c r="O37" s="8">
        <f>O22+O23+O24+O25+O26+O29+O30+O31+O33+O34+O35</f>
        <v/>
      </c>
      <c r="P37" s="8">
        <f>P22+P23+P24+P25+P26+P29+P30+P31+P33+P34+P35</f>
        <v/>
      </c>
      <c r="Q37" s="8">
        <f>Q22+Q23+Q24+Q25+Q26+Q29+Q30+Q31+Q33+Q34+Q35</f>
        <v/>
      </c>
      <c r="R37" s="8">
        <f>R22+R23+R24+R25+R26+R29+R30+R31+R33+R34+R35</f>
        <v/>
      </c>
      <c r="S37" s="8">
        <f>S22+S23+S24+S25+S26+S29+S30+S31+S33+S34+S35</f>
        <v/>
      </c>
      <c r="T37" s="8">
        <f>T22+T23+T24+T25+T26+T29+T30+T31+T33+T34+T35</f>
        <v/>
      </c>
      <c r="U37" s="8">
        <f>U22+U23+U24+U25+U26+U29+U30+U31+U33+U34+U35</f>
        <v/>
      </c>
      <c r="V37" s="8">
        <f>V22+V23+V24+V25+V26+V29+V30+V31+V33+V34+V35</f>
        <v/>
      </c>
      <c r="W37" s="8">
        <f>W22+W23+W24+W25+W26+W29+W30+W31+W33+W34+W35</f>
        <v/>
      </c>
      <c r="X37" s="8">
        <f>X22+X23+X24+X25+X26+X29+X30+X31+X33+X34+X35</f>
        <v/>
      </c>
      <c r="Y37" s="8">
        <f>Y22+Y23+Y24+Y25+Y26+Y29+Y30+Y31+Y33+Y34+Y35</f>
        <v/>
      </c>
    </row>
    <row r="38">
      <c r="A38" s="9" t="inlineStr">
        <is>
          <t>Прибыль за месяц</t>
        </is>
      </c>
      <c r="B38" s="8">
        <f>B20-B37</f>
        <v/>
      </c>
      <c r="C38" s="8">
        <f>C20-C37</f>
        <v/>
      </c>
      <c r="D38" s="8">
        <f>D20-D37</f>
        <v/>
      </c>
      <c r="E38" s="8">
        <f>E20-E37</f>
        <v/>
      </c>
      <c r="F38" s="8">
        <f>F20-F37</f>
        <v/>
      </c>
      <c r="G38" s="8">
        <f>G20-G37</f>
        <v/>
      </c>
      <c r="H38" s="8">
        <f>H20-H37</f>
        <v/>
      </c>
      <c r="I38" s="8">
        <f>I20-I37</f>
        <v/>
      </c>
      <c r="J38" s="8">
        <f>J20-J37</f>
        <v/>
      </c>
      <c r="K38" s="8">
        <f>K20-K37</f>
        <v/>
      </c>
      <c r="L38" s="8">
        <f>L20-L37</f>
        <v/>
      </c>
      <c r="M38" s="8">
        <f>M20-M37</f>
        <v/>
      </c>
      <c r="N38" s="8">
        <f>N20-N37</f>
        <v/>
      </c>
      <c r="O38" s="8">
        <f>O20-O37</f>
        <v/>
      </c>
      <c r="P38" s="8">
        <f>P20-P37</f>
        <v/>
      </c>
      <c r="Q38" s="8">
        <f>Q20-Q37</f>
        <v/>
      </c>
      <c r="R38" s="8">
        <f>R20-R37</f>
        <v/>
      </c>
      <c r="S38" s="8">
        <f>S20-S37</f>
        <v/>
      </c>
      <c r="T38" s="8">
        <f>T20-T37</f>
        <v/>
      </c>
      <c r="U38" s="8">
        <f>U20-U37</f>
        <v/>
      </c>
      <c r="V38" s="8">
        <f>V20-V37</f>
        <v/>
      </c>
      <c r="W38" s="8">
        <f>W20-W37</f>
        <v/>
      </c>
      <c r="X38" s="8">
        <f>X20-X37</f>
        <v/>
      </c>
      <c r="Y38" s="8">
        <f>Y20-Y37</f>
        <v/>
      </c>
    </row>
    <row r="39">
      <c r="A39" s="9" t="inlineStr">
        <is>
          <t>Накопленный итог</t>
        </is>
      </c>
      <c r="B39" s="8">
        <f>B38</f>
        <v/>
      </c>
      <c r="C39" s="8">
        <f>B39+C38</f>
        <v/>
      </c>
      <c r="D39" s="8">
        <f>C39+D38</f>
        <v/>
      </c>
      <c r="E39" s="8">
        <f>D39+E38</f>
        <v/>
      </c>
      <c r="F39" s="8">
        <f>E39+F38</f>
        <v/>
      </c>
      <c r="G39" s="8">
        <f>F39+G38</f>
        <v/>
      </c>
      <c r="H39" s="8">
        <f>G39+H38</f>
        <v/>
      </c>
      <c r="I39" s="8">
        <f>H39+I38</f>
        <v/>
      </c>
      <c r="J39" s="8">
        <f>I39+J38</f>
        <v/>
      </c>
      <c r="K39" s="8">
        <f>J39+K38</f>
        <v/>
      </c>
      <c r="L39" s="8">
        <f>K39+L38</f>
        <v/>
      </c>
      <c r="M39" s="8">
        <f>L39+M38</f>
        <v/>
      </c>
      <c r="N39" s="8">
        <f>M39+N38</f>
        <v/>
      </c>
      <c r="O39" s="8">
        <f>N39+O38</f>
        <v/>
      </c>
      <c r="P39" s="8">
        <f>O39+P38</f>
        <v/>
      </c>
      <c r="Q39" s="8">
        <f>P39+Q38</f>
        <v/>
      </c>
      <c r="R39" s="8">
        <f>Q39+R38</f>
        <v/>
      </c>
      <c r="S39" s="8">
        <f>R39+S38</f>
        <v/>
      </c>
      <c r="T39" s="8">
        <f>S39+T38</f>
        <v/>
      </c>
      <c r="U39" s="8">
        <f>T39+U38</f>
        <v/>
      </c>
      <c r="V39" s="8">
        <f>U39+V38</f>
        <v/>
      </c>
      <c r="W39" s="8">
        <f>V39+W38</f>
        <v/>
      </c>
      <c r="X39" s="8">
        <f>W39+X38</f>
        <v/>
      </c>
      <c r="Y39" s="8">
        <f>X39+Y38</f>
        <v/>
      </c>
    </row>
    <row r="40">
      <c r="A40" s="4" t="inlineStr">
        <is>
          <t>Месяц прибыльный (1 — да)</t>
        </is>
      </c>
      <c r="B40" s="16">
        <f>IF(B38&gt;=0,1,0)</f>
        <v/>
      </c>
      <c r="C40" s="16">
        <f>IF(C38&gt;=0,1,0)</f>
        <v/>
      </c>
      <c r="D40" s="16">
        <f>IF(D38&gt;=0,1,0)</f>
        <v/>
      </c>
      <c r="E40" s="16">
        <f>IF(E38&gt;=0,1,0)</f>
        <v/>
      </c>
      <c r="F40" s="16">
        <f>IF(F38&gt;=0,1,0)</f>
        <v/>
      </c>
      <c r="G40" s="16">
        <f>IF(G38&gt;=0,1,0)</f>
        <v/>
      </c>
      <c r="H40" s="16">
        <f>IF(H38&gt;=0,1,0)</f>
        <v/>
      </c>
      <c r="I40" s="16">
        <f>IF(I38&gt;=0,1,0)</f>
        <v/>
      </c>
      <c r="J40" s="16">
        <f>IF(J38&gt;=0,1,0)</f>
        <v/>
      </c>
      <c r="K40" s="16">
        <f>IF(K38&gt;=0,1,0)</f>
        <v/>
      </c>
      <c r="L40" s="16">
        <f>IF(L38&gt;=0,1,0)</f>
        <v/>
      </c>
      <c r="M40" s="16">
        <f>IF(M38&gt;=0,1,0)</f>
        <v/>
      </c>
      <c r="N40" s="16">
        <f>IF(N38&gt;=0,1,0)</f>
        <v/>
      </c>
      <c r="O40" s="16">
        <f>IF(O38&gt;=0,1,0)</f>
        <v/>
      </c>
      <c r="P40" s="16">
        <f>IF(P38&gt;=0,1,0)</f>
        <v/>
      </c>
      <c r="Q40" s="16">
        <f>IF(Q38&gt;=0,1,0)</f>
        <v/>
      </c>
      <c r="R40" s="16">
        <f>IF(R38&gt;=0,1,0)</f>
        <v/>
      </c>
      <c r="S40" s="16">
        <f>IF(S38&gt;=0,1,0)</f>
        <v/>
      </c>
      <c r="T40" s="16">
        <f>IF(T38&gt;=0,1,0)</f>
        <v/>
      </c>
      <c r="U40" s="16">
        <f>IF(U38&gt;=0,1,0)</f>
        <v/>
      </c>
      <c r="V40" s="16">
        <f>IF(V38&gt;=0,1,0)</f>
        <v/>
      </c>
      <c r="W40" s="16">
        <f>IF(W38&gt;=0,1,0)</f>
        <v/>
      </c>
      <c r="X40" s="16">
        <f>IF(X38&gt;=0,1,0)</f>
        <v/>
      </c>
      <c r="Y40" s="16">
        <f>IF(Y38&gt;=0,1,0)</f>
        <v/>
      </c>
    </row>
    <row r="41">
      <c r="A41" s="4" t="inlineStr">
        <is>
          <t>Вложения возвращены (1 — да)</t>
        </is>
      </c>
      <c r="B41" s="16">
        <f>IF(B39&gt;=0,1,0)</f>
        <v/>
      </c>
      <c r="C41" s="16">
        <f>IF(C39&gt;=0,1,0)</f>
        <v/>
      </c>
      <c r="D41" s="16">
        <f>IF(D39&gt;=0,1,0)</f>
        <v/>
      </c>
      <c r="E41" s="16">
        <f>IF(E39&gt;=0,1,0)</f>
        <v/>
      </c>
      <c r="F41" s="16">
        <f>IF(F39&gt;=0,1,0)</f>
        <v/>
      </c>
      <c r="G41" s="16">
        <f>IF(G39&gt;=0,1,0)</f>
        <v/>
      </c>
      <c r="H41" s="16">
        <f>IF(H39&gt;=0,1,0)</f>
        <v/>
      </c>
      <c r="I41" s="16">
        <f>IF(I39&gt;=0,1,0)</f>
        <v/>
      </c>
      <c r="J41" s="16">
        <f>IF(J39&gt;=0,1,0)</f>
        <v/>
      </c>
      <c r="K41" s="16">
        <f>IF(K39&gt;=0,1,0)</f>
        <v/>
      </c>
      <c r="L41" s="16">
        <f>IF(L39&gt;=0,1,0)</f>
        <v/>
      </c>
      <c r="M41" s="16">
        <f>IF(M39&gt;=0,1,0)</f>
        <v/>
      </c>
      <c r="N41" s="16">
        <f>IF(N39&gt;=0,1,0)</f>
        <v/>
      </c>
      <c r="O41" s="16">
        <f>IF(O39&gt;=0,1,0)</f>
        <v/>
      </c>
      <c r="P41" s="16">
        <f>IF(P39&gt;=0,1,0)</f>
        <v/>
      </c>
      <c r="Q41" s="16">
        <f>IF(Q39&gt;=0,1,0)</f>
        <v/>
      </c>
      <c r="R41" s="16">
        <f>IF(R39&gt;=0,1,0)</f>
        <v/>
      </c>
      <c r="S41" s="16">
        <f>IF(S39&gt;=0,1,0)</f>
        <v/>
      </c>
      <c r="T41" s="16">
        <f>IF(T39&gt;=0,1,0)</f>
        <v/>
      </c>
      <c r="U41" s="16">
        <f>IF(U39&gt;=0,1,0)</f>
        <v/>
      </c>
      <c r="V41" s="16">
        <f>IF(V39&gt;=0,1,0)</f>
        <v/>
      </c>
      <c r="W41" s="16">
        <f>IF(W39&gt;=0,1,0)</f>
        <v/>
      </c>
      <c r="X41" s="16">
        <f>IF(X39&gt;=0,1,0)</f>
        <v/>
      </c>
      <c r="Y41" s="16">
        <f>IF(Y39&gt;=0,1,0)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2026-09-30T20:23:01Z</dcterms:created>
  <dcterms:modified xmlns:dcterms="http://purl.org/dc/terms/" xmlns:xsi="http://www.w3.org/2001/XMLSchema-instance" xsi:type="dcterms:W3CDTF">2026-09-30T20:23:01Z</dcterms:modified>
</cp:coreProperties>
</file>